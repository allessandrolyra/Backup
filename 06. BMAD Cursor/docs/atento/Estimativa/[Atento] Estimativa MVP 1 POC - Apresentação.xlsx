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01. Foursys\06. BMAD Cursor\docs\atento\Calculadora\"/>
    </mc:Choice>
  </mc:AlternateContent>
  <bookViews>
    <workbookView xWindow="0" yWindow="0" windowWidth="23040" windowHeight="9192"/>
  </bookViews>
  <sheets>
    <sheet name="Estimativa MVP PoC" sheetId="1" r:id="rId1"/>
  </sheets>
  <calcPr calcId="162913"/>
</workbook>
</file>

<file path=xl/calcChain.xml><?xml version="1.0" encoding="utf-8"?>
<calcChain xmlns="http://schemas.openxmlformats.org/spreadsheetml/2006/main">
  <c r="E13" i="1" l="1"/>
  <c r="E6" i="1"/>
  <c r="E7" i="1"/>
  <c r="E8" i="1"/>
  <c r="E9" i="1"/>
  <c r="E10" i="1"/>
  <c r="E11" i="1"/>
  <c r="E12" i="1"/>
  <c r="E5" i="1"/>
</calcChain>
</file>

<file path=xl/sharedStrings.xml><?xml version="1.0" encoding="utf-8"?>
<sst xmlns="http://schemas.openxmlformats.org/spreadsheetml/2006/main" count="42" uniqueCount="42">
  <si>
    <t>Atento ASR Cloud - Estimativa MVP 1 PoC</t>
  </si>
  <si>
    <t>Fonte: Azure Pricing Calculator | Maio 2026 | Brazil South</t>
  </si>
  <si>
    <t>Nome do Servico</t>
  </si>
  <si>
    <t>Tipo de Servico</t>
  </si>
  <si>
    <t>Quantidade de Consumo Mensal</t>
  </si>
  <si>
    <t>Valor Estimado Mensal (USD)</t>
  </si>
  <si>
    <t>Valor Estimado Mensal (BRL)</t>
  </si>
  <si>
    <t>VPN Gateway VpnGw1AZ</t>
  </si>
  <si>
    <t>Networking</t>
  </si>
  <si>
    <t>1 gateway, 730h, 1 tunel S2S, 100GB transfer</t>
  </si>
  <si>
    <t>Azure Speech Services (STT Real-Time)</t>
  </si>
  <si>
    <t>AI + Machine Learning</t>
  </si>
  <si>
    <t>15 segundos por ligacao, ~120h audio/mes + 1 Custom endpoint</t>
  </si>
  <si>
    <t>API Management - Developer</t>
  </si>
  <si>
    <t>Web / API Gateway</t>
  </si>
  <si>
    <t>1 unidade, 730h (VNet injection habilitado)</t>
  </si>
  <si>
    <t>Azure Cache for Redis - Standard C0</t>
  </si>
  <si>
    <t>Databases / Cache</t>
  </si>
  <si>
    <t>1 instancia Standard C0 (250MB), 730h</t>
  </si>
  <si>
    <t>Azure Monitor + App Insights + Log Analytics</t>
  </si>
  <si>
    <t>DevOps / Observabilidade</t>
  </si>
  <si>
    <t>Ingestao ~0.2 GB/dia logs, metricas basicas</t>
  </si>
  <si>
    <t>Key Vault</t>
  </si>
  <si>
    <t>Seguranca</t>
  </si>
  <si>
    <t>1 vault, ~100 operacoes, ~100 operacoes avancadas</t>
  </si>
  <si>
    <t>Virtual Machine D2s v3 (2 vCPU, 8GB)</t>
  </si>
  <si>
    <t>Compute</t>
  </si>
  <si>
    <t>1 VM Linux, 730h (Pay as you go)</t>
  </si>
  <si>
    <t>Private Endpoints (Speech + Redis)</t>
  </si>
  <si>
    <t>Networking / Seguranca</t>
  </si>
  <si>
    <t>2 endpoints, 730h, 100GB inbound + 100GB outbound</t>
  </si>
  <si>
    <t>TOTAL MENSAL</t>
  </si>
  <si>
    <t>Regiao Azure:</t>
  </si>
  <si>
    <t>Brazil South (Sao Paulo)</t>
  </si>
  <si>
    <t>Taxa de conversao:</t>
  </si>
  <si>
    <t>Cenario:</t>
  </si>
  <si>
    <t>PoC - Prova de Conceito (volume reduzido de testes)</t>
  </si>
  <si>
    <t>Data da estimativa:</t>
  </si>
  <si>
    <t>19/05/2026</t>
  </si>
  <si>
    <t>Observacao:</t>
  </si>
  <si>
    <t>Valores referencia - confirmar com Azure Pricing Calculator no momento da contratacao</t>
  </si>
  <si>
    <t>USD 1.00 = BRL 5,0378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</si>
</sst>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\ #,##0.00"/>
    <numFmt numFmtId="165" formatCode="\R\$\ #,##0.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2" fillId="3" borderId="2" xfId="0" applyFont="1" applyFill="1" applyBorder="1"/>
    <xf numFmtId="0" fontId="0" fillId="3" borderId="2" xfId="0" applyFill="1" applyBorder="1"/>
    <xf numFmtId="0" fontId="0" fillId="0" borderId="3" xfId="0" applyBorder="1"/>
    <xf numFmtId="0" fontId="0" fillId="0" borderId="5" xfId="0" applyBorder="1"/>
    <xf numFmtId="0" fontId="3" fillId="4" borderId="6" xfId="0" applyFont="1" applyFill="1" applyBorder="1"/>
    <xf numFmtId="0" fontId="0" fillId="4" borderId="0" xfId="0" applyFill="1" applyBorder="1"/>
    <xf numFmtId="0" fontId="0" fillId="4" borderId="7" xfId="0" applyFill="1" applyBorder="1"/>
    <xf numFmtId="0" fontId="4" fillId="4" borderId="7" xfId="0" applyFont="1" applyFill="1" applyBorder="1"/>
    <xf numFmtId="0" fontId="3" fillId="4" borderId="8" xfId="0" applyFont="1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4" xfId="0" applyFill="1" applyBorder="1"/>
    <xf numFmtId="0" fontId="5" fillId="5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D19" sqref="D19:D20"/>
    </sheetView>
  </sheetViews>
  <sheetFormatPr defaultRowHeight="14.4" x14ac:dyDescent="0.3"/>
  <cols>
    <col min="1" max="1" width="37.33203125" bestFit="1" customWidth="1"/>
    <col min="2" max="2" width="25.88671875" customWidth="1"/>
    <col min="3" max="3" width="53.109375" customWidth="1"/>
    <col min="4" max="4" width="25.6640625" customWidth="1"/>
    <col min="5" max="5" width="28" customWidth="1"/>
  </cols>
  <sheetData>
    <row r="1" spans="1:5" ht="18" x14ac:dyDescent="0.35">
      <c r="A1" s="19" t="s">
        <v>0</v>
      </c>
      <c r="B1" s="19"/>
      <c r="C1" s="19"/>
      <c r="D1" s="19"/>
      <c r="E1" s="19"/>
    </row>
    <row r="2" spans="1:5" x14ac:dyDescent="0.3">
      <c r="A2" s="20" t="s">
        <v>1</v>
      </c>
      <c r="B2" s="21"/>
      <c r="C2" s="21"/>
      <c r="D2" s="21"/>
      <c r="E2" s="21"/>
    </row>
    <row r="4" spans="1:5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2.05" customHeight="1" x14ac:dyDescent="0.3">
      <c r="A5" s="2" t="s">
        <v>7</v>
      </c>
      <c r="B5" s="2" t="s">
        <v>8</v>
      </c>
      <c r="C5" s="2" t="s">
        <v>9</v>
      </c>
      <c r="D5" s="3">
        <v>156.94999999999999</v>
      </c>
      <c r="E5" s="4">
        <f>D5*($C$16)</f>
        <v>790.68270999999993</v>
      </c>
    </row>
    <row r="6" spans="1:5" ht="22.05" customHeight="1" x14ac:dyDescent="0.3">
      <c r="A6" s="2" t="s">
        <v>10</v>
      </c>
      <c r="B6" s="2" t="s">
        <v>11</v>
      </c>
      <c r="C6" s="2" t="s">
        <v>12</v>
      </c>
      <c r="D6" s="3">
        <v>143.65</v>
      </c>
      <c r="E6" s="4">
        <f t="shared" ref="E6:E12" si="0">D6*($C$16)</f>
        <v>723.67997000000003</v>
      </c>
    </row>
    <row r="7" spans="1:5" ht="22.05" customHeight="1" x14ac:dyDescent="0.3">
      <c r="A7" s="2" t="s">
        <v>13</v>
      </c>
      <c r="B7" s="2" t="s">
        <v>14</v>
      </c>
      <c r="C7" s="2" t="s">
        <v>15</v>
      </c>
      <c r="D7" s="3">
        <v>48.033999999999999</v>
      </c>
      <c r="E7" s="4">
        <f t="shared" si="0"/>
        <v>241.98568519999998</v>
      </c>
    </row>
    <row r="8" spans="1:5" ht="22.05" customHeight="1" x14ac:dyDescent="0.3">
      <c r="A8" s="2" t="s">
        <v>16</v>
      </c>
      <c r="B8" s="2" t="s">
        <v>17</v>
      </c>
      <c r="C8" s="2" t="s">
        <v>18</v>
      </c>
      <c r="D8" s="3">
        <v>40.15</v>
      </c>
      <c r="E8" s="4">
        <f t="shared" si="0"/>
        <v>202.26766999999998</v>
      </c>
    </row>
    <row r="9" spans="1:5" ht="22.05" customHeight="1" x14ac:dyDescent="0.3">
      <c r="A9" s="2" t="s">
        <v>19</v>
      </c>
      <c r="B9" s="2" t="s">
        <v>20</v>
      </c>
      <c r="C9" s="2" t="s">
        <v>21</v>
      </c>
      <c r="D9" s="3">
        <v>32.299999999999997</v>
      </c>
      <c r="E9" s="4">
        <f t="shared" si="0"/>
        <v>162.72093999999998</v>
      </c>
    </row>
    <row r="10" spans="1:5" ht="22.05" customHeight="1" x14ac:dyDescent="0.3">
      <c r="A10" s="2" t="s">
        <v>22</v>
      </c>
      <c r="B10" s="2" t="s">
        <v>23</v>
      </c>
      <c r="C10" s="2" t="s">
        <v>24</v>
      </c>
      <c r="D10" s="3">
        <v>13.18</v>
      </c>
      <c r="E10" s="4">
        <f t="shared" si="0"/>
        <v>66.398203999999993</v>
      </c>
    </row>
    <row r="11" spans="1:5" ht="22.05" customHeight="1" x14ac:dyDescent="0.3">
      <c r="A11" s="2" t="s">
        <v>25</v>
      </c>
      <c r="B11" s="2" t="s">
        <v>26</v>
      </c>
      <c r="C11" s="2" t="s">
        <v>27</v>
      </c>
      <c r="D11" s="3">
        <v>116.07</v>
      </c>
      <c r="E11" s="4">
        <f t="shared" si="0"/>
        <v>584.73744599999998</v>
      </c>
    </row>
    <row r="12" spans="1:5" ht="22.05" customHeight="1" x14ac:dyDescent="0.3">
      <c r="A12" s="2" t="s">
        <v>28</v>
      </c>
      <c r="B12" s="2" t="s">
        <v>29</v>
      </c>
      <c r="C12" s="2" t="s">
        <v>30</v>
      </c>
      <c r="D12" s="3">
        <v>16.600000000000001</v>
      </c>
      <c r="E12" s="4">
        <f t="shared" si="0"/>
        <v>83.627480000000006</v>
      </c>
    </row>
    <row r="13" spans="1:5" ht="22.05" customHeight="1" thickBot="1" x14ac:dyDescent="0.35">
      <c r="A13" s="7" t="s">
        <v>31</v>
      </c>
      <c r="B13" s="8"/>
      <c r="C13" s="8"/>
      <c r="D13" s="5">
        <v>566.93399999999997</v>
      </c>
      <c r="E13" s="6">
        <f>SUM(E5:E12)</f>
        <v>2856.1001052000001</v>
      </c>
    </row>
    <row r="14" spans="1:5" x14ac:dyDescent="0.3">
      <c r="A14" s="9"/>
      <c r="B14" s="18"/>
      <c r="C14" s="10"/>
    </row>
    <row r="15" spans="1:5" x14ac:dyDescent="0.3">
      <c r="A15" s="11" t="s">
        <v>32</v>
      </c>
      <c r="B15" s="12" t="s">
        <v>33</v>
      </c>
      <c r="C15" s="13"/>
    </row>
    <row r="16" spans="1:5" x14ac:dyDescent="0.3">
      <c r="A16" s="11" t="s">
        <v>34</v>
      </c>
      <c r="B16" s="12" t="s">
        <v>41</v>
      </c>
      <c r="C16" s="14">
        <v>5.0377999999999998</v>
      </c>
    </row>
    <row r="17" spans="1:3" x14ac:dyDescent="0.3">
      <c r="A17" s="11" t="s">
        <v>35</v>
      </c>
      <c r="B17" s="12" t="s">
        <v>36</v>
      </c>
      <c r="C17" s="13"/>
    </row>
    <row r="18" spans="1:3" x14ac:dyDescent="0.3">
      <c r="A18" s="11" t="s">
        <v>37</v>
      </c>
      <c r="B18" s="12" t="s">
        <v>38</v>
      </c>
      <c r="C18" s="13"/>
    </row>
    <row r="19" spans="1:3" ht="15" thickBot="1" x14ac:dyDescent="0.35">
      <c r="A19" s="15" t="s">
        <v>39</v>
      </c>
      <c r="B19" s="16" t="s">
        <v>40</v>
      </c>
      <c r="C19" s="17"/>
    </row>
  </sheetData>
  <mergeCells count="2">
    <mergeCell ref="A2:E2"/>
    <mergeCell ref="A1:E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Estimativa MVP PoC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Lisboa de lyra</cp:lastModifiedBy>
  <dcterms:created xsi:type="dcterms:W3CDTF">2026-05-19T17:46:25Z</dcterms:created>
  <dcterms:modified xsi:type="dcterms:W3CDTF">2026-05-19T17:58:06Z</dcterms:modified>
</cp:coreProperties>
</file>