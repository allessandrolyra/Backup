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Foursys\06. BMAD Cursor\docs\atento\Calculadora\"/>
    </mc:Choice>
  </mc:AlternateContent>
  <bookViews>
    <workbookView xWindow="0" yWindow="0" windowWidth="23040" windowHeight="9192"/>
  </bookViews>
  <sheets>
    <sheet name="Resumo de Horas Conf MVP" sheetId="1" r:id="rId1"/>
    <sheet name="Horas de Confi Detalhada" sheetId="2" r:id="rId2"/>
    <sheet name="Time Line" sheetId="3" r:id="rId3"/>
    <sheet name="Sustentação Mensal" sheetId="5" r:id="rId4"/>
    <sheet name="Consumo SaaS  Hibrido 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5" l="1"/>
  <c r="B8" i="1" l="1"/>
</calcChain>
</file>

<file path=xl/sharedStrings.xml><?xml version="1.0" encoding="utf-8"?>
<sst xmlns="http://schemas.openxmlformats.org/spreadsheetml/2006/main" count="148" uniqueCount="104">
  <si>
    <t>Resumo de Horas por Perfil de Analista</t>
  </si>
  <si>
    <t>Perfil do Analista</t>
  </si>
  <si>
    <t>Horas Totais</t>
  </si>
  <si>
    <t>Semanas Alocadas</t>
  </si>
  <si>
    <t>Custo Estimado (ref)</t>
  </si>
  <si>
    <t xml:space="preserve"> SRE Cloud</t>
  </si>
  <si>
    <t>1 Semana</t>
  </si>
  <si>
    <t>Planejamento, VPN, integracao Avaya, documentacao</t>
  </si>
  <si>
    <t>Cloud Engineer / DevOps</t>
  </si>
  <si>
    <t>Provisionamento Azure, IaC, networking, seguranca</t>
  </si>
  <si>
    <t>Desenvolvedor Backend (Senior)</t>
  </si>
  <si>
    <t>2 Semanas</t>
  </si>
  <si>
    <t>Codigo ASR Orchestrator, Speech SDK, Custom Model</t>
  </si>
  <si>
    <t>QA / Tester</t>
  </si>
  <si>
    <t>Testes E2E, latencia, resiliencia, sotaques</t>
  </si>
  <si>
    <t>TOTAL</t>
  </si>
  <si>
    <t>5 Semanas</t>
  </si>
  <si>
    <t>Premissas:</t>
  </si>
  <si>
    <t>- Semana de 40h (8h/dia x 5 dias)</t>
  </si>
  <si>
    <t>- Atividades podem ser paralelas entre perfis diferentes</t>
  </si>
  <si>
    <t>- Duracao total estimada: 6-7 semanas (com paralelismo)</t>
  </si>
  <si>
    <t>- Dependencia critica: informacoes tecnicas da Atento (IPs, Avaya, firewall)</t>
  </si>
  <si>
    <t>- Custom Speech Model pode exigir iteracoes adicionais se acuracia &lt; 85%</t>
  </si>
  <si>
    <t>Horas de Configuracao por Recurso Azure</t>
  </si>
  <si>
    <t>Recurso Azure</t>
  </si>
  <si>
    <t>Horas Config.</t>
  </si>
  <si>
    <t>Horas Desenvolvimento</t>
  </si>
  <si>
    <t>Horas Total</t>
  </si>
  <si>
    <t>Planejamento / Design Geral</t>
  </si>
  <si>
    <t>Azure Subscription + Resource Groups</t>
  </si>
  <si>
    <t>VNet + Subnets + NSGs + Route Tables</t>
  </si>
  <si>
    <t>VPN Gateway (S2S + BGP + testes)</t>
  </si>
  <si>
    <t>Key Vault + Managed Identity</t>
  </si>
  <si>
    <t>Redis Cache + Private Endpoint</t>
  </si>
  <si>
    <t>Private Endpoints (todos) + DNS</t>
  </si>
  <si>
    <t>API Management Developer (VNet injection)</t>
  </si>
  <si>
    <t>Virtual Machine D2s v3 (setup + hardening)</t>
  </si>
  <si>
    <t>Speech Services + Custom Model</t>
  </si>
  <si>
    <t>ASR Orchestrator (codigo da aplicacao)</t>
  </si>
  <si>
    <t>Azure Monitor + App Insights + Alertas</t>
  </si>
  <si>
    <t>Integracao Avaya (com equipe Atento)</t>
  </si>
  <si>
    <t>Testes E2E + Documentacao</t>
  </si>
  <si>
    <t>Config. = provisionamento e configuracao de infra Azure</t>
  </si>
  <si>
    <t>Desenvolvimento = codigo, integracao, treinamento ML, testes</t>
  </si>
  <si>
    <t>Timeline de Execucao - MVP PoC (7 semanas)</t>
  </si>
  <si>
    <t>Fase / Atividade</t>
  </si>
  <si>
    <t>S1</t>
  </si>
  <si>
    <t>S2</t>
  </si>
  <si>
    <t>S3</t>
  </si>
  <si>
    <t>S4</t>
  </si>
  <si>
    <t>S5</t>
  </si>
  <si>
    <t>S6</t>
  </si>
  <si>
    <t>S7</t>
  </si>
  <si>
    <t>Perfil Principal</t>
  </si>
  <si>
    <t>1. Planejamento e Design</t>
  </si>
  <si>
    <t>X</t>
  </si>
  <si>
    <t>Arquiteto Cloud</t>
  </si>
  <si>
    <t>2. Subscription + VNet + NSGs</t>
  </si>
  <si>
    <t>Cloud Engineer</t>
  </si>
  <si>
    <t>3. Key Vault + Secrets</t>
  </si>
  <si>
    <t>4. VPN Gateway + Tunel S2S</t>
  </si>
  <si>
    <t>5. Teste conectividade VPN</t>
  </si>
  <si>
    <t>Cloud Engineer + Atento</t>
  </si>
  <si>
    <t>6. Speech Services + PE</t>
  </si>
  <si>
    <t>7. Redis Cache + PE</t>
  </si>
  <si>
    <t>8. API Management Developer</t>
  </si>
  <si>
    <t>9. VM D2s v3 (setup + hardening)</t>
  </si>
  <si>
    <t>10. Custom Speech Model (treino)</t>
  </si>
  <si>
    <t>Desenvolvedor Backend</t>
  </si>
  <si>
    <t>11. ASR Orchestrator (codigo)</t>
  </si>
  <si>
    <t>12. APIM Policies + APIs</t>
  </si>
  <si>
    <t>13. Observabilidade (Monitor/Alerts)</t>
  </si>
  <si>
    <t>14. Integracao Avaya</t>
  </si>
  <si>
    <t>Arquiteto + Atento</t>
  </si>
  <si>
    <t>15. Testes E2E + Validacao</t>
  </si>
  <si>
    <t>16. Documentacao + Handover</t>
  </si>
  <si>
    <t>Mensalidade base cobre custos fixos + chamadas incluidas. Excedente cobrado por chamada.</t>
  </si>
  <si>
    <t>ESTRUTURA DO MODELO</t>
  </si>
  <si>
    <t>Tier</t>
  </si>
  <si>
    <t>Mensalidade Base (BRL)</t>
  </si>
  <si>
    <t>Chamadas Incluidas</t>
  </si>
  <si>
    <t>Preco Excedente (BRL/chamada)</t>
  </si>
  <si>
    <t>Chamadas/min equiv.</t>
  </si>
  <si>
    <t>Custo Azure Total (USD)</t>
  </si>
  <si>
    <t>Margem Base</t>
  </si>
  <si>
    <t>PoC</t>
  </si>
  <si>
    <t>36% margem</t>
  </si>
  <si>
    <t>Starter</t>
  </si>
  <si>
    <t>35% margem</t>
  </si>
  <si>
    <t>Professional</t>
  </si>
  <si>
    <t>Business</t>
  </si>
  <si>
    <t>Enterprise</t>
  </si>
  <si>
    <t>Consumo SaaS: Hibrido — Base Fixa + Excedente por Chamada</t>
  </si>
  <si>
    <t>Horas</t>
  </si>
  <si>
    <t>Monitoramento e Observabilidade</t>
  </si>
  <si>
    <t>Gestao de Incidentes</t>
  </si>
  <si>
    <t>Manutencao Preventiva</t>
  </si>
  <si>
    <t>Evolucao e Melhoria Continua</t>
  </si>
  <si>
    <t>Suporte ao Cliente (Atento)</t>
  </si>
  <si>
    <t>Performance e Capacidade</t>
  </si>
  <si>
    <t>Subtotal atividades planejadas</t>
  </si>
  <si>
    <t>Buffer para incidentes/imprevistos</t>
  </si>
  <si>
    <t>Atividade</t>
  </si>
  <si>
    <t>Sustentação Mensal 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</si>
</sst>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R\$\ #,##0.00"/>
    <numFmt numFmtId="165" formatCode="\R\$\ 0.00"/>
    <numFmt numFmtId="166" formatCode="\$#,##0.00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sz val="9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F5496"/>
      <name val="Calibri"/>
    </font>
    <font>
      <b/>
      <sz val="11"/>
      <name val="Calibri"/>
    </font>
    <font>
      <b/>
      <sz val="10"/>
      <color rgb="FFFFFFFF"/>
      <name val="Calibri"/>
    </font>
    <font>
      <b/>
      <sz val="1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5B9BD5"/>
        <bgColor rgb="FF5B9BD5"/>
      </patternFill>
    </fill>
    <fill>
      <patternFill patternType="solid">
        <fgColor rgb="FFF2F2F2"/>
        <bgColor rgb="FFF2F2F2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3" borderId="0" xfId="0" applyFill="1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vertical="center" wrapText="1"/>
    </xf>
    <xf numFmtId="0" fontId="5" fillId="5" borderId="10" xfId="0" applyFont="1" applyFill="1" applyBorder="1"/>
    <xf numFmtId="0" fontId="5" fillId="5" borderId="1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/>
    </xf>
    <xf numFmtId="0" fontId="0" fillId="5" borderId="12" xfId="0" applyFill="1" applyBorder="1"/>
    <xf numFmtId="0" fontId="5" fillId="3" borderId="0" xfId="0" applyFont="1" applyFill="1"/>
    <xf numFmtId="0" fontId="3" fillId="4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5" fillId="5" borderId="8" xfId="0" applyFont="1" applyFill="1" applyBorder="1"/>
    <xf numFmtId="0" fontId="5" fillId="5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6" borderId="8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0" fillId="0" borderId="0" xfId="0" applyFont="1"/>
    <xf numFmtId="0" fontId="11" fillId="0" borderId="0" xfId="0" applyFont="1"/>
    <xf numFmtId="0" fontId="12" fillId="4" borderId="8" xfId="0" applyFont="1" applyFill="1" applyBorder="1" applyAlignment="1">
      <alignment horizontal="center" vertical="center" wrapText="1"/>
    </xf>
    <xf numFmtId="164" fontId="0" fillId="0" borderId="8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165" fontId="0" fillId="0" borderId="8" xfId="0" applyNumberForma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66" fontId="0" fillId="0" borderId="8" xfId="0" applyNumberFormat="1" applyBorder="1" applyAlignment="1">
      <alignment horizontal="right" vertical="center"/>
    </xf>
    <xf numFmtId="9" fontId="0" fillId="0" borderId="0" xfId="0" applyNumberFormat="1"/>
    <xf numFmtId="0" fontId="0" fillId="0" borderId="0" xfId="0" applyAlignment="1">
      <alignment horizontal="center"/>
    </xf>
    <xf numFmtId="0" fontId="9" fillId="0" borderId="0" xfId="0" applyFont="1" applyAlignment="1"/>
    <xf numFmtId="0" fontId="0" fillId="0" borderId="8" xfId="0" applyBorder="1"/>
    <xf numFmtId="0" fontId="0" fillId="0" borderId="8" xfId="0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9" fillId="0" borderId="8" xfId="0" applyFont="1" applyBorder="1"/>
    <xf numFmtId="0" fontId="9" fillId="0" borderId="8" xfId="0" applyFont="1" applyBorder="1" applyAlignment="1">
      <alignment horizontal="center"/>
    </xf>
    <xf numFmtId="0" fontId="8" fillId="9" borderId="8" xfId="0" applyFont="1" applyFill="1" applyBorder="1"/>
    <xf numFmtId="0" fontId="8" fillId="9" borderId="8" xfId="0" applyFont="1" applyFill="1" applyBorder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A4" sqref="A4"/>
    </sheetView>
  </sheetViews>
  <sheetFormatPr defaultRowHeight="14.4" x14ac:dyDescent="0.3"/>
  <cols>
    <col min="1" max="1" width="31.77734375" customWidth="1"/>
    <col min="2" max="2" width="13.109375" customWidth="1"/>
    <col min="3" max="3" width="20" customWidth="1"/>
    <col min="4" max="4" width="55" customWidth="1"/>
  </cols>
  <sheetData>
    <row r="1" spans="1:14" ht="18.600000000000001" thickBot="1" x14ac:dyDescent="0.4">
      <c r="A1" s="22" t="s">
        <v>0</v>
      </c>
      <c r="B1" s="23"/>
      <c r="C1" s="23"/>
      <c r="D1" s="2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thickBot="1" x14ac:dyDescent="0.35"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2" t="s">
        <v>1</v>
      </c>
      <c r="B3" s="3" t="s">
        <v>2</v>
      </c>
      <c r="C3" s="4" t="s">
        <v>3</v>
      </c>
      <c r="D3" s="5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6" t="s">
        <v>5</v>
      </c>
      <c r="B4" s="7">
        <v>40</v>
      </c>
      <c r="C4" s="8" t="s">
        <v>6</v>
      </c>
      <c r="D4" s="9" t="s">
        <v>7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6" t="s">
        <v>8</v>
      </c>
      <c r="B5" s="7">
        <v>40</v>
      </c>
      <c r="C5" s="8" t="s">
        <v>6</v>
      </c>
      <c r="D5" s="9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6" t="s">
        <v>10</v>
      </c>
      <c r="B6" s="7">
        <v>80</v>
      </c>
      <c r="C6" s="8" t="s">
        <v>11</v>
      </c>
      <c r="D6" s="9" t="s">
        <v>12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6" t="s">
        <v>13</v>
      </c>
      <c r="B7" s="7">
        <v>40</v>
      </c>
      <c r="C7" s="8" t="s">
        <v>6</v>
      </c>
      <c r="D7" s="9" t="s">
        <v>14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" thickBot="1" x14ac:dyDescent="0.35">
      <c r="A8" s="10" t="s">
        <v>15</v>
      </c>
      <c r="B8" s="11">
        <f>SUM(B4:B7)</f>
        <v>200</v>
      </c>
      <c r="C8" s="12" t="s">
        <v>16</v>
      </c>
      <c r="D8" s="13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4" t="s">
        <v>17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 t="s">
        <v>18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 t="s">
        <v>19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 t="s">
        <v>20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 t="s">
        <v>21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 t="s">
        <v>22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G29" s="1"/>
      <c r="H29" s="1"/>
      <c r="I29" s="1"/>
      <c r="J29" s="1"/>
      <c r="K29" s="1"/>
      <c r="L29" s="1"/>
      <c r="M29" s="1"/>
      <c r="N29" s="1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B23" sqref="B23"/>
    </sheetView>
  </sheetViews>
  <sheetFormatPr defaultRowHeight="14.4" x14ac:dyDescent="0.3"/>
  <cols>
    <col min="1" max="1" width="42" customWidth="1"/>
    <col min="2" max="2" width="18" customWidth="1"/>
    <col min="3" max="3" width="22" customWidth="1"/>
    <col min="4" max="4" width="16" customWidth="1"/>
  </cols>
  <sheetData>
    <row r="1" spans="1:4" ht="18" x14ac:dyDescent="0.35">
      <c r="A1" s="25" t="s">
        <v>23</v>
      </c>
      <c r="B1" s="25"/>
      <c r="C1" s="25"/>
      <c r="D1" s="25"/>
    </row>
    <row r="3" spans="1:4" x14ac:dyDescent="0.3">
      <c r="A3" s="15" t="s">
        <v>24</v>
      </c>
      <c r="B3" s="15" t="s">
        <v>25</v>
      </c>
      <c r="C3" s="15" t="s">
        <v>26</v>
      </c>
      <c r="D3" s="15" t="s">
        <v>27</v>
      </c>
    </row>
    <row r="4" spans="1:4" x14ac:dyDescent="0.3">
      <c r="A4" s="16" t="s">
        <v>28</v>
      </c>
      <c r="B4" s="7">
        <v>18</v>
      </c>
      <c r="C4" s="7">
        <v>0</v>
      </c>
      <c r="D4" s="7">
        <v>18</v>
      </c>
    </row>
    <row r="5" spans="1:4" x14ac:dyDescent="0.3">
      <c r="A5" s="16" t="s">
        <v>29</v>
      </c>
      <c r="B5" s="7">
        <v>2</v>
      </c>
      <c r="C5" s="7">
        <v>0</v>
      </c>
      <c r="D5" s="7">
        <v>2</v>
      </c>
    </row>
    <row r="6" spans="1:4" x14ac:dyDescent="0.3">
      <c r="A6" s="16" t="s">
        <v>30</v>
      </c>
      <c r="B6" s="7">
        <v>8</v>
      </c>
      <c r="C6" s="7">
        <v>0</v>
      </c>
      <c r="D6" s="7">
        <v>8</v>
      </c>
    </row>
    <row r="7" spans="1:4" x14ac:dyDescent="0.3">
      <c r="A7" s="16" t="s">
        <v>31</v>
      </c>
      <c r="B7" s="7">
        <v>16</v>
      </c>
      <c r="C7" s="7">
        <v>0</v>
      </c>
      <c r="D7" s="7">
        <v>16</v>
      </c>
    </row>
    <row r="8" spans="1:4" x14ac:dyDescent="0.3">
      <c r="A8" s="16" t="s">
        <v>32</v>
      </c>
      <c r="B8" s="7">
        <v>3</v>
      </c>
      <c r="C8" s="7">
        <v>0</v>
      </c>
      <c r="D8" s="7">
        <v>3</v>
      </c>
    </row>
    <row r="9" spans="1:4" x14ac:dyDescent="0.3">
      <c r="A9" s="16" t="s">
        <v>33</v>
      </c>
      <c r="B9" s="7">
        <v>3</v>
      </c>
      <c r="C9" s="7">
        <v>0</v>
      </c>
      <c r="D9" s="7">
        <v>3</v>
      </c>
    </row>
    <row r="10" spans="1:4" x14ac:dyDescent="0.3">
      <c r="A10" s="16" t="s">
        <v>34</v>
      </c>
      <c r="B10" s="7">
        <v>3</v>
      </c>
      <c r="C10" s="7">
        <v>0</v>
      </c>
      <c r="D10" s="7">
        <v>3</v>
      </c>
    </row>
    <row r="11" spans="1:4" x14ac:dyDescent="0.3">
      <c r="A11" s="16" t="s">
        <v>35</v>
      </c>
      <c r="B11" s="7">
        <v>5</v>
      </c>
      <c r="C11" s="7">
        <v>9</v>
      </c>
      <c r="D11" s="7">
        <v>14</v>
      </c>
    </row>
    <row r="12" spans="1:4" x14ac:dyDescent="0.3">
      <c r="A12" s="16" t="s">
        <v>36</v>
      </c>
      <c r="B12" s="7">
        <v>9</v>
      </c>
      <c r="C12" s="7">
        <v>0</v>
      </c>
      <c r="D12" s="7">
        <v>9</v>
      </c>
    </row>
    <row r="13" spans="1:4" x14ac:dyDescent="0.3">
      <c r="A13" s="16" t="s">
        <v>37</v>
      </c>
      <c r="B13" s="7">
        <v>2</v>
      </c>
      <c r="C13" s="7">
        <v>26</v>
      </c>
      <c r="D13" s="7">
        <v>28</v>
      </c>
    </row>
    <row r="14" spans="1:4" x14ac:dyDescent="0.3">
      <c r="A14" s="16" t="s">
        <v>38</v>
      </c>
      <c r="B14" s="7">
        <v>0</v>
      </c>
      <c r="C14" s="7">
        <v>50</v>
      </c>
      <c r="D14" s="7">
        <v>50</v>
      </c>
    </row>
    <row r="15" spans="1:4" x14ac:dyDescent="0.3">
      <c r="A15" s="16" t="s">
        <v>39</v>
      </c>
      <c r="B15" s="7">
        <v>6</v>
      </c>
      <c r="C15" s="7">
        <v>0</v>
      </c>
      <c r="D15" s="7">
        <v>6</v>
      </c>
    </row>
    <row r="16" spans="1:4" x14ac:dyDescent="0.3">
      <c r="A16" s="16" t="s">
        <v>40</v>
      </c>
      <c r="B16" s="7">
        <v>0</v>
      </c>
      <c r="C16" s="7">
        <v>14</v>
      </c>
      <c r="D16" s="7">
        <v>14</v>
      </c>
    </row>
    <row r="17" spans="1:4" x14ac:dyDescent="0.3">
      <c r="A17" s="16" t="s">
        <v>41</v>
      </c>
      <c r="B17" s="7">
        <v>0</v>
      </c>
      <c r="C17" s="7">
        <v>26</v>
      </c>
      <c r="D17" s="7">
        <v>26</v>
      </c>
    </row>
    <row r="18" spans="1:4" x14ac:dyDescent="0.3">
      <c r="A18" s="17" t="s">
        <v>15</v>
      </c>
      <c r="B18" s="18">
        <v>75</v>
      </c>
      <c r="C18" s="18">
        <v>125</v>
      </c>
      <c r="D18" s="18">
        <v>200</v>
      </c>
    </row>
    <row r="20" spans="1:4" x14ac:dyDescent="0.3">
      <c r="A20" s="19" t="s">
        <v>42</v>
      </c>
    </row>
    <row r="21" spans="1:4" x14ac:dyDescent="0.3">
      <c r="A21" s="19" t="s">
        <v>43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H28" sqref="H28"/>
    </sheetView>
  </sheetViews>
  <sheetFormatPr defaultRowHeight="14.4" x14ac:dyDescent="0.3"/>
  <cols>
    <col min="1" max="1" width="38" customWidth="1"/>
    <col min="2" max="8" width="6" customWidth="1"/>
    <col min="9" max="9" width="28" customWidth="1"/>
  </cols>
  <sheetData>
    <row r="1" spans="1:23" ht="18" x14ac:dyDescent="0.35">
      <c r="A1" s="25" t="s">
        <v>44</v>
      </c>
      <c r="B1" s="26"/>
      <c r="C1" s="26"/>
      <c r="D1" s="26"/>
      <c r="E1" s="26"/>
      <c r="F1" s="26"/>
      <c r="G1" s="26"/>
      <c r="H1" s="26"/>
      <c r="I1" s="26"/>
    </row>
    <row r="2" spans="1:23" x14ac:dyDescent="0.3"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5" t="s">
        <v>45</v>
      </c>
      <c r="B3" s="15" t="s">
        <v>46</v>
      </c>
      <c r="C3" s="15" t="s">
        <v>47</v>
      </c>
      <c r="D3" s="15" t="s">
        <v>48</v>
      </c>
      <c r="E3" s="15" t="s">
        <v>49</v>
      </c>
      <c r="F3" s="15" t="s">
        <v>50</v>
      </c>
      <c r="G3" s="15" t="s">
        <v>51</v>
      </c>
      <c r="H3" s="15" t="s">
        <v>52</v>
      </c>
      <c r="I3" s="15" t="s">
        <v>53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6" t="s">
        <v>54</v>
      </c>
      <c r="B4" s="20" t="s">
        <v>55</v>
      </c>
      <c r="C4" s="21"/>
      <c r="D4" s="21"/>
      <c r="E4" s="21"/>
      <c r="F4" s="21"/>
      <c r="G4" s="21"/>
      <c r="H4" s="21"/>
      <c r="I4" s="16" t="s">
        <v>56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6" t="s">
        <v>57</v>
      </c>
      <c r="B5" s="21"/>
      <c r="C5" s="20" t="s">
        <v>55</v>
      </c>
      <c r="D5" s="21"/>
      <c r="E5" s="21"/>
      <c r="F5" s="21"/>
      <c r="G5" s="21"/>
      <c r="H5" s="21"/>
      <c r="I5" s="16" t="s">
        <v>58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6" t="s">
        <v>59</v>
      </c>
      <c r="B6" s="21"/>
      <c r="C6" s="20" t="s">
        <v>55</v>
      </c>
      <c r="D6" s="21"/>
      <c r="E6" s="21"/>
      <c r="F6" s="21"/>
      <c r="G6" s="21"/>
      <c r="H6" s="21"/>
      <c r="I6" s="16" t="s">
        <v>58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6" t="s">
        <v>60</v>
      </c>
      <c r="B7" s="21"/>
      <c r="C7" s="20" t="s">
        <v>55</v>
      </c>
      <c r="D7" s="20" t="s">
        <v>55</v>
      </c>
      <c r="E7" s="21"/>
      <c r="F7" s="21"/>
      <c r="G7" s="21"/>
      <c r="H7" s="21"/>
      <c r="I7" s="16" t="s">
        <v>58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6" t="s">
        <v>61</v>
      </c>
      <c r="B8" s="21"/>
      <c r="C8" s="21"/>
      <c r="D8" s="20" t="s">
        <v>55</v>
      </c>
      <c r="E8" s="21"/>
      <c r="F8" s="21"/>
      <c r="G8" s="21"/>
      <c r="H8" s="21"/>
      <c r="I8" s="16" t="s">
        <v>62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6" t="s">
        <v>63</v>
      </c>
      <c r="B9" s="21"/>
      <c r="C9" s="20" t="s">
        <v>55</v>
      </c>
      <c r="D9" s="20" t="s">
        <v>55</v>
      </c>
      <c r="E9" s="21"/>
      <c r="F9" s="21"/>
      <c r="G9" s="21"/>
      <c r="H9" s="21"/>
      <c r="I9" s="16" t="s">
        <v>58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6" t="s">
        <v>64</v>
      </c>
      <c r="B10" s="21"/>
      <c r="C10" s="21"/>
      <c r="D10" s="20" t="s">
        <v>55</v>
      </c>
      <c r="E10" s="21"/>
      <c r="F10" s="21"/>
      <c r="G10" s="21"/>
      <c r="H10" s="21"/>
      <c r="I10" s="16" t="s">
        <v>58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6" t="s">
        <v>65</v>
      </c>
      <c r="B11" s="21"/>
      <c r="C11" s="21"/>
      <c r="D11" s="20" t="s">
        <v>55</v>
      </c>
      <c r="E11" s="20" t="s">
        <v>55</v>
      </c>
      <c r="F11" s="21"/>
      <c r="G11" s="21"/>
      <c r="H11" s="21"/>
      <c r="I11" s="16" t="s">
        <v>58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6" t="s">
        <v>66</v>
      </c>
      <c r="B12" s="21"/>
      <c r="C12" s="21"/>
      <c r="D12" s="20" t="s">
        <v>55</v>
      </c>
      <c r="E12" s="21"/>
      <c r="F12" s="21"/>
      <c r="G12" s="21"/>
      <c r="H12" s="21"/>
      <c r="I12" s="16" t="s">
        <v>58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6" t="s">
        <v>67</v>
      </c>
      <c r="B13" s="21"/>
      <c r="C13" s="20" t="s">
        <v>55</v>
      </c>
      <c r="D13" s="20" t="s">
        <v>55</v>
      </c>
      <c r="E13" s="20" t="s">
        <v>55</v>
      </c>
      <c r="F13" s="20" t="s">
        <v>55</v>
      </c>
      <c r="G13" s="21"/>
      <c r="H13" s="21"/>
      <c r="I13" s="16" t="s">
        <v>68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6" t="s">
        <v>69</v>
      </c>
      <c r="B14" s="21"/>
      <c r="C14" s="21"/>
      <c r="D14" s="20" t="s">
        <v>55</v>
      </c>
      <c r="E14" s="20" t="s">
        <v>55</v>
      </c>
      <c r="F14" s="20" t="s">
        <v>55</v>
      </c>
      <c r="G14" s="21"/>
      <c r="H14" s="21"/>
      <c r="I14" s="16" t="s">
        <v>68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6" t="s">
        <v>70</v>
      </c>
      <c r="B15" s="21"/>
      <c r="C15" s="21"/>
      <c r="D15" s="21"/>
      <c r="E15" s="20" t="s">
        <v>55</v>
      </c>
      <c r="F15" s="21"/>
      <c r="G15" s="21"/>
      <c r="H15" s="21"/>
      <c r="I15" s="16" t="s">
        <v>68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6" t="s">
        <v>71</v>
      </c>
      <c r="B16" s="21"/>
      <c r="C16" s="21"/>
      <c r="D16" s="21"/>
      <c r="E16" s="20" t="s">
        <v>55</v>
      </c>
      <c r="F16" s="20" t="s">
        <v>55</v>
      </c>
      <c r="G16" s="21"/>
      <c r="H16" s="21"/>
      <c r="I16" s="16" t="s">
        <v>58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6" t="s">
        <v>72</v>
      </c>
      <c r="B17" s="21"/>
      <c r="C17" s="21"/>
      <c r="D17" s="21"/>
      <c r="E17" s="21"/>
      <c r="F17" s="20" t="s">
        <v>55</v>
      </c>
      <c r="G17" s="20" t="s">
        <v>55</v>
      </c>
      <c r="H17" s="21"/>
      <c r="I17" s="16" t="s">
        <v>73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6" t="s">
        <v>74</v>
      </c>
      <c r="B18" s="21"/>
      <c r="C18" s="21"/>
      <c r="D18" s="21"/>
      <c r="E18" s="21"/>
      <c r="F18" s="21"/>
      <c r="G18" s="20" t="s">
        <v>55</v>
      </c>
      <c r="H18" s="20" t="s">
        <v>55</v>
      </c>
      <c r="I18" s="16" t="s">
        <v>13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6" t="s">
        <v>75</v>
      </c>
      <c r="B19" s="21"/>
      <c r="C19" s="21"/>
      <c r="D19" s="21"/>
      <c r="E19" s="21"/>
      <c r="F19" s="21"/>
      <c r="G19" s="21"/>
      <c r="H19" s="20" t="s">
        <v>55</v>
      </c>
      <c r="I19" s="16" t="s">
        <v>56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23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23" x14ac:dyDescent="0.3">
      <c r="A32" s="1"/>
      <c r="B32" s="1"/>
      <c r="C32" s="1"/>
      <c r="D32" s="1"/>
      <c r="E32" s="1"/>
      <c r="F32" s="1"/>
      <c r="G32" s="1"/>
      <c r="H32" s="1"/>
      <c r="I32" s="1"/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E16" sqref="E16"/>
    </sheetView>
  </sheetViews>
  <sheetFormatPr defaultRowHeight="14.4" x14ac:dyDescent="0.3"/>
  <cols>
    <col min="1" max="1" width="38" customWidth="1"/>
    <col min="2" max="2" width="13.44140625" customWidth="1"/>
  </cols>
  <sheetData>
    <row r="1" spans="1:3" x14ac:dyDescent="0.3">
      <c r="A1" s="41" t="s">
        <v>103</v>
      </c>
      <c r="B1" s="41"/>
      <c r="C1" s="38"/>
    </row>
    <row r="2" spans="1:3" x14ac:dyDescent="0.3">
      <c r="A2" s="44" t="s">
        <v>102</v>
      </c>
      <c r="B2" s="45" t="s">
        <v>93</v>
      </c>
    </row>
    <row r="3" spans="1:3" x14ac:dyDescent="0.3">
      <c r="A3" s="39" t="s">
        <v>94</v>
      </c>
      <c r="B3" s="40">
        <v>14</v>
      </c>
      <c r="C3" s="36"/>
    </row>
    <row r="4" spans="1:3" x14ac:dyDescent="0.3">
      <c r="A4" s="39" t="s">
        <v>95</v>
      </c>
      <c r="B4" s="40">
        <v>5</v>
      </c>
      <c r="C4" s="36"/>
    </row>
    <row r="5" spans="1:3" x14ac:dyDescent="0.3">
      <c r="A5" s="39" t="s">
        <v>96</v>
      </c>
      <c r="B5" s="40">
        <v>4</v>
      </c>
      <c r="C5" s="36"/>
    </row>
    <row r="6" spans="1:3" x14ac:dyDescent="0.3">
      <c r="A6" s="39" t="s">
        <v>97</v>
      </c>
      <c r="B6" s="40">
        <v>4</v>
      </c>
      <c r="C6" s="36"/>
    </row>
    <row r="7" spans="1:3" x14ac:dyDescent="0.3">
      <c r="A7" s="39" t="s">
        <v>98</v>
      </c>
      <c r="B7" s="40">
        <v>4</v>
      </c>
      <c r="C7" s="36"/>
    </row>
    <row r="8" spans="1:3" x14ac:dyDescent="0.3">
      <c r="A8" s="39" t="s">
        <v>99</v>
      </c>
      <c r="B8" s="40">
        <v>3</v>
      </c>
      <c r="C8" s="36"/>
    </row>
    <row r="9" spans="1:3" x14ac:dyDescent="0.3">
      <c r="A9" s="39" t="s">
        <v>100</v>
      </c>
      <c r="B9" s="40">
        <v>3</v>
      </c>
      <c r="C9" s="36"/>
    </row>
    <row r="10" spans="1:3" x14ac:dyDescent="0.3">
      <c r="A10" s="39" t="s">
        <v>101</v>
      </c>
      <c r="B10" s="40">
        <v>3</v>
      </c>
      <c r="C10" s="36"/>
    </row>
    <row r="11" spans="1:3" x14ac:dyDescent="0.3">
      <c r="A11" s="42" t="s">
        <v>15</v>
      </c>
      <c r="B11" s="43">
        <f>SUM(B3:B10)</f>
        <v>40</v>
      </c>
    </row>
    <row r="12" spans="1:3" x14ac:dyDescent="0.3">
      <c r="B12" s="37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C21" sqref="C21"/>
    </sheetView>
  </sheetViews>
  <sheetFormatPr defaultRowHeight="14.4" x14ac:dyDescent="0.3"/>
  <cols>
    <col min="1" max="1" width="19.6640625" customWidth="1"/>
    <col min="2" max="2" width="20.109375" bestFit="1" customWidth="1"/>
    <col min="3" max="3" width="20.33203125" customWidth="1"/>
    <col min="4" max="4" width="19.33203125" customWidth="1"/>
    <col min="5" max="5" width="17.5546875" customWidth="1"/>
    <col min="6" max="6" width="16.5546875" customWidth="1"/>
    <col min="7" max="7" width="11.5546875" bestFit="1" customWidth="1"/>
  </cols>
  <sheetData>
    <row r="1" spans="1:9" ht="18" x14ac:dyDescent="0.35">
      <c r="A1" s="46" t="s">
        <v>92</v>
      </c>
      <c r="B1" s="27"/>
      <c r="C1" s="27"/>
      <c r="D1" s="27"/>
      <c r="E1" s="27"/>
      <c r="F1" s="27"/>
      <c r="G1" s="27"/>
      <c r="H1" s="27"/>
      <c r="I1" s="27"/>
    </row>
    <row r="2" spans="1:9" x14ac:dyDescent="0.3">
      <c r="A2" s="28" t="s">
        <v>76</v>
      </c>
      <c r="B2" s="27"/>
      <c r="C2" s="27"/>
      <c r="D2" s="27"/>
      <c r="E2" s="27"/>
      <c r="F2" s="27"/>
      <c r="G2" s="27"/>
      <c r="H2" s="27"/>
      <c r="I2" s="27"/>
    </row>
    <row r="4" spans="1:9" x14ac:dyDescent="0.3">
      <c r="A4" s="29" t="s">
        <v>77</v>
      </c>
    </row>
    <row r="5" spans="1:9" ht="27.6" x14ac:dyDescent="0.3">
      <c r="A5" s="30" t="s">
        <v>78</v>
      </c>
      <c r="B5" s="30" t="s">
        <v>79</v>
      </c>
      <c r="C5" s="30" t="s">
        <v>80</v>
      </c>
      <c r="D5" s="30" t="s">
        <v>81</v>
      </c>
      <c r="E5" s="30" t="s">
        <v>82</v>
      </c>
      <c r="F5" s="30" t="s">
        <v>83</v>
      </c>
      <c r="G5" s="30" t="s">
        <v>84</v>
      </c>
    </row>
    <row r="6" spans="1:9" x14ac:dyDescent="0.3">
      <c r="A6" s="16" t="s">
        <v>85</v>
      </c>
      <c r="B6" s="31">
        <v>13000</v>
      </c>
      <c r="C6" s="32">
        <v>50000</v>
      </c>
      <c r="D6" s="33">
        <v>0.12</v>
      </c>
      <c r="E6" s="34">
        <v>5</v>
      </c>
      <c r="F6" s="35">
        <v>631.33333333333337</v>
      </c>
      <c r="G6" s="34" t="s">
        <v>86</v>
      </c>
    </row>
    <row r="7" spans="1:9" x14ac:dyDescent="0.3">
      <c r="A7" s="16" t="s">
        <v>87</v>
      </c>
      <c r="B7" s="31">
        <v>17500</v>
      </c>
      <c r="C7" s="32">
        <v>160000</v>
      </c>
      <c r="D7" s="33">
        <v>0.1</v>
      </c>
      <c r="E7" s="34">
        <v>15</v>
      </c>
      <c r="F7" s="35">
        <v>1166.666666666667</v>
      </c>
      <c r="G7" s="34" t="s">
        <v>88</v>
      </c>
    </row>
    <row r="8" spans="1:9" x14ac:dyDescent="0.3">
      <c r="A8" s="16" t="s">
        <v>89</v>
      </c>
      <c r="B8" s="31">
        <v>34500</v>
      </c>
      <c r="C8" s="32">
        <v>500000</v>
      </c>
      <c r="D8" s="33">
        <v>0.08</v>
      </c>
      <c r="E8" s="34">
        <v>50</v>
      </c>
      <c r="F8" s="35">
        <v>3083.333333333333</v>
      </c>
      <c r="G8" s="34" t="s">
        <v>88</v>
      </c>
    </row>
    <row r="9" spans="1:9" x14ac:dyDescent="0.3">
      <c r="A9" s="16" t="s">
        <v>90</v>
      </c>
      <c r="B9" s="31">
        <v>104000</v>
      </c>
      <c r="C9" s="32">
        <v>2000000</v>
      </c>
      <c r="D9" s="33">
        <v>0.06</v>
      </c>
      <c r="E9" s="34">
        <v>150</v>
      </c>
      <c r="F9" s="35">
        <v>10833.33333333333</v>
      </c>
      <c r="G9" s="34" t="s">
        <v>88</v>
      </c>
    </row>
    <row r="10" spans="1:9" x14ac:dyDescent="0.3">
      <c r="A10" s="16" t="s">
        <v>91</v>
      </c>
      <c r="B10" s="31">
        <v>376000</v>
      </c>
      <c r="C10" s="32">
        <v>8000000</v>
      </c>
      <c r="D10" s="33">
        <v>0.04</v>
      </c>
      <c r="E10" s="34">
        <v>500</v>
      </c>
      <c r="F10" s="35">
        <v>41333.333333333343</v>
      </c>
      <c r="G10" s="34" t="s">
        <v>88</v>
      </c>
    </row>
  </sheetData>
  <mergeCells count="2">
    <mergeCell ref="A1:I1"/>
    <mergeCell ref="A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 de Horas Conf MVP</vt:lpstr>
      <vt:lpstr>Horas de Confi Detalhada</vt:lpstr>
      <vt:lpstr>Time Line</vt:lpstr>
      <vt:lpstr>Sustentação Mensal</vt:lpstr>
      <vt:lpstr>Consumo SaaS  Hibrido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Lisboa de lyra</dc:creator>
  <cp:lastModifiedBy>Alessandro Lisboa de lyra</cp:lastModifiedBy>
  <dcterms:created xsi:type="dcterms:W3CDTF">2026-05-20T18:55:56Z</dcterms:created>
  <dcterms:modified xsi:type="dcterms:W3CDTF">2026-05-20T20:54:05Z</dcterms:modified>
</cp:coreProperties>
</file>