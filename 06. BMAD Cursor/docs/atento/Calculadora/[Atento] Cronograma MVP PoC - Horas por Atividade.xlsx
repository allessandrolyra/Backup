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1. Foursys\06. BMAD Cursor\docs\atento\Calculadora\"/>
    </mc:Choice>
  </mc:AlternateContent>
  <bookViews>
    <workbookView xWindow="0" yWindow="0" windowWidth="23040" windowHeight="9192" activeTab="3"/>
  </bookViews>
  <sheets>
    <sheet name="Cronograma por Atividade" sheetId="1" r:id="rId1"/>
    <sheet name="Resumo por Perfil" sheetId="2" r:id="rId2"/>
    <sheet name="Resumo por Recurso Azure" sheetId="3" r:id="rId3"/>
    <sheet name="Timeline Semanal" sheetId="4" r:id="rId4"/>
  </sheets>
  <calcPr calcId="162913"/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<sst xmlns="http://schemas.openxmlformats.org/spreadsheetml/2006/main" count="497" uniqueCount="277">
  <si>
    <t>Atento ASR Cloud - Cronograma de Configuracao MVP PoC</t>
  </si>
  <si>
    <t>Horas por atividade, recurso Azure e perfil de analista | Maio 2026</t>
  </si>
  <si>
    <t>Fase</t>
  </si>
  <si>
    <t>Recurso / Servico Azure</t>
  </si>
  <si>
    <t>Atividade</t>
  </si>
  <si>
    <t>Perfil Analista</t>
  </si>
  <si>
    <t>Horas Estimadas</t>
  </si>
  <si>
    <t>Dependencia</t>
  </si>
  <si>
    <t>Semana</t>
  </si>
  <si>
    <t>Observacoes</t>
  </si>
  <si>
    <t>FASE 1: PLANEJAMENTO E DESIGN</t>
  </si>
  <si>
    <t>Geral</t>
  </si>
  <si>
    <t>Kickoff tecnico e alinhamento de requisitos</t>
  </si>
  <si>
    <t>Arquiteto Cloud</t>
  </si>
  <si>
    <t>-</t>
  </si>
  <si>
    <t>S1</t>
  </si>
  <si>
    <t>Reuniao com stakeholders Foursys + Atento</t>
  </si>
  <si>
    <t>Revisao da arquitetura C4 e ajustes para PoC</t>
  </si>
  <si>
    <t>Simplificar para cenario MVP</t>
  </si>
  <si>
    <t>Definicao do plano de enderecamento IP (VNet/subnets)</t>
  </si>
  <si>
    <t>Alinhar ranges com Atento (evitar conflito)</t>
  </si>
  <si>
    <t>Levantamento de pre-requisitos com Atento (Avaya, IPs, firewall)</t>
  </si>
  <si>
    <t>Dependencia critica do cliente</t>
  </si>
  <si>
    <t>Documentacao do plano de implementacao</t>
  </si>
  <si>
    <t>Checklist de recursos e ordem de deploy</t>
  </si>
  <si>
    <t>FASE 2: PROVISIONAMENTO DE INFRAESTRUTURA BASE</t>
  </si>
  <si>
    <t>Azure Subscription</t>
  </si>
  <si>
    <t>Criacao/config da subscription e Resource Groups</t>
  </si>
  <si>
    <t>Cloud Engineer</t>
  </si>
  <si>
    <t>S2</t>
  </si>
  <si>
    <t>Naming convention, tags, policies</t>
  </si>
  <si>
    <t>VNet + Subnets</t>
  </si>
  <si>
    <t>Criar VNet 10.100.0.0/16 com subnets segmentadas</t>
  </si>
  <si>
    <t>Subscription</t>
  </si>
  <si>
    <t>GatewaySubnet, Subnet-APIM, Subnet-App, Subnet-PE</t>
  </si>
  <si>
    <t>NSGs</t>
  </si>
  <si>
    <t>Configurar Network Security Groups por subnet</t>
  </si>
  <si>
    <t>VNet</t>
  </si>
  <si>
    <t>Rules: Allow Atento IPs, Deny all inbound</t>
  </si>
  <si>
    <t>Route Tables</t>
  </si>
  <si>
    <t>Configurar tabelas de roteamento (UDR)</t>
  </si>
  <si>
    <t>Rotas para trafego VPN</t>
  </si>
  <si>
    <t>Key Vault</t>
  </si>
  <si>
    <t>Provisionar Key Vault + Managed Identity</t>
  </si>
  <si>
    <t>Soft-delete habilitado, access policies</t>
  </si>
  <si>
    <t>Armazenar certificados VPN e API keys</t>
  </si>
  <si>
    <t>Gerar e armazenar secrets</t>
  </si>
  <si>
    <t>FASE 3: CONECTIVIDADE VPN</t>
  </si>
  <si>
    <t>VPN Gateway</t>
  </si>
  <si>
    <t>Provisionar VPN Gateway VpnGw1AZ</t>
  </si>
  <si>
    <t>S2-S3</t>
  </si>
  <si>
    <t>Deploy demora ~30-45min; config apos</t>
  </si>
  <si>
    <t>Configurar Local Network Gateway (IPs Atento)</t>
  </si>
  <si>
    <t>S3</t>
  </si>
  <si>
    <t>Depende dos IPs fornecidos pela Atento</t>
  </si>
  <si>
    <t>Criar Connection S2S (IPSec/IKEv2)</t>
  </si>
  <si>
    <t>Local GW</t>
  </si>
  <si>
    <t>Shared key, DH Group, cipher suite</t>
  </si>
  <si>
    <t>Teste de conectividade tunel VPN com Atento</t>
  </si>
  <si>
    <t>Connection</t>
  </si>
  <si>
    <t>Validar ping, traceroute, latencia</t>
  </si>
  <si>
    <t>Troubleshooting e ajuste de parametros VPN</t>
  </si>
  <si>
    <t>Teste VPN</t>
  </si>
  <si>
    <t>Buffer para problemas de firewall/NAT</t>
  </si>
  <si>
    <t>Configurar BGP (se aplicavel)</t>
  </si>
  <si>
    <t>ASN, peering addresses</t>
  </si>
  <si>
    <t>FASE 4: SERVICOS DE DADOS E SEGURANCA</t>
  </si>
  <si>
    <t>Redis Cache</t>
  </si>
  <si>
    <t>Provisionar Azure Cache for Redis Standard C0</t>
  </si>
  <si>
    <t>Standard para suporte a PE</t>
  </si>
  <si>
    <t>Configurar Private Endpoint do Redis</t>
  </si>
  <si>
    <t>Redis</t>
  </si>
  <si>
    <t>DNS privado + NSG</t>
  </si>
  <si>
    <t>Configurar firewall rules e acesso VNet</t>
  </si>
  <si>
    <t>Redis PE</t>
  </si>
  <si>
    <t>Bloquear acesso publico</t>
  </si>
  <si>
    <t>Private Endpoints</t>
  </si>
  <si>
    <t>Criar PE para Speech Services</t>
  </si>
  <si>
    <t>Speech Svc</t>
  </si>
  <si>
    <t>Private DNS Zone + link</t>
  </si>
  <si>
    <t>Validar resolucao DNS privada (todos PEs)</t>
  </si>
  <si>
    <t>Todos PEs</t>
  </si>
  <si>
    <t>nslookup, teste de conectividade interna</t>
  </si>
  <si>
    <t>FASE 5: API MANAGEMENT</t>
  </si>
  <si>
    <t>API Management</t>
  </si>
  <si>
    <t>Provisionar APIM Developer tier</t>
  </si>
  <si>
    <t>Deploy demora ~30-40min</t>
  </si>
  <si>
    <t>Configurar VNet injection (internal mode)</t>
  </si>
  <si>
    <t>APIM</t>
  </si>
  <si>
    <t>Subnet dedicada, NSG especifico</t>
  </si>
  <si>
    <t>Criar API definitions e operacoes (WebSocket)</t>
  </si>
  <si>
    <t>Desenvolvedor Backend</t>
  </si>
  <si>
    <t>APIM VNet</t>
  </si>
  <si>
    <t>S4</t>
  </si>
  <si>
    <t>Endpoint /asr/transcribe</t>
  </si>
  <si>
    <t>Configurar policies (rate-limit, auth, CORS, logging)</t>
  </si>
  <si>
    <t>API defs</t>
  </si>
  <si>
    <t>API Key validation, IP filter</t>
  </si>
  <si>
    <t>Testar fluxo APIM -&gt; backend (VM)</t>
  </si>
  <si>
    <t>Policies</t>
  </si>
  <si>
    <t>Validar roteamento e auth</t>
  </si>
  <si>
    <t>FASE 6: COMPUTE (VM)</t>
  </si>
  <si>
    <t>Virtual Machine</t>
  </si>
  <si>
    <t>Provisionar VM D2s v3 (Linux) na subnet</t>
  </si>
  <si>
    <t>Ubuntu 22.04 LTS, SSH key</t>
  </si>
  <si>
    <t>Hardening do OS (updates, firewall, SSH)</t>
  </si>
  <si>
    <t>VM</t>
  </si>
  <si>
    <t>Desabilitar senha, apenas SSH key</t>
  </si>
  <si>
    <t>Instalar runtime (.NET / Node.js) e dependencias</t>
  </si>
  <si>
    <t>VM hardened</t>
  </si>
  <si>
    <t>SDK do Speech, runtime da app</t>
  </si>
  <si>
    <t>Configurar Managed Identity e acesso ao Key Vault</t>
  </si>
  <si>
    <t>VM + KV</t>
  </si>
  <si>
    <t>System-assigned identity</t>
  </si>
  <si>
    <t>Configurar scripts de deploy e restart</t>
  </si>
  <si>
    <t>Runtime</t>
  </si>
  <si>
    <t>Systemd service, auto-start</t>
  </si>
  <si>
    <t>FASE 7: SPEECH SERVICES E CUSTOM MODEL</t>
  </si>
  <si>
    <t>Speech Services</t>
  </si>
  <si>
    <t>Provisionar Azure Speech Services (S0) em Brazil South</t>
  </si>
  <si>
    <t>Verificar disponibilidade na regiao</t>
  </si>
  <si>
    <t>Configurar Private Endpoint do Speech</t>
  </si>
  <si>
    <t>Private DNS Zone</t>
  </si>
  <si>
    <t>Custom Speech Model</t>
  </si>
  <si>
    <t>Preparar dataset de treinamento (CNPJs alfanumericos)</t>
  </si>
  <si>
    <t>Gravar/sintetizar audios com variacoes foneticas</t>
  </si>
  <si>
    <t>Treinar Custom Speech Model pt-BR</t>
  </si>
  <si>
    <t>Dataset</t>
  </si>
  <si>
    <t>S3-S4</t>
  </si>
  <si>
    <t>Upload dataset, configurar treinamento</t>
  </si>
  <si>
    <t>Avaliar acuracia do modelo (WER/CER)</t>
  </si>
  <si>
    <t>Modelo treinado</t>
  </si>
  <si>
    <t>Testar com CNPJs reais e variantes</t>
  </si>
  <si>
    <t>Deploy do Custom endpoint</t>
  </si>
  <si>
    <t>Modelo aprovado</t>
  </si>
  <si>
    <t>Endpoint dedicado para inferencia</t>
  </si>
  <si>
    <t>Re-treino e ajustes (iteracao)</t>
  </si>
  <si>
    <t>Avaliacao</t>
  </si>
  <si>
    <t>S4-S5</t>
  </si>
  <si>
    <t>Buffer para melhorar acuracia</t>
  </si>
  <si>
    <t>FASE 8: DESENVOLVIMENTO DA APLICACAO ASR</t>
  </si>
  <si>
    <t>ASR Orchestrator</t>
  </si>
  <si>
    <t>Desenvolver WebSocket Handler (receber audio stream)</t>
  </si>
  <si>
    <t>VM + APIM</t>
  </si>
  <si>
    <t>ASP.NET Core ou Node.js</t>
  </si>
  <si>
    <t>Desenvolver Speech Client (integracao Speech SDK)</t>
  </si>
  <si>
    <t>Real-time STT, resultados parciais/finais</t>
  </si>
  <si>
    <t>Desenvolver Audio Preprocessor (G.711 -&gt; PCM 16kHz)</t>
  </si>
  <si>
    <t>WS Handler</t>
  </si>
  <si>
    <t>Conversao de codec, VAD</t>
  </si>
  <si>
    <t>Desenvolver CNPJ Parser (texto -&gt; CNPJ alfanumerico)</t>
  </si>
  <si>
    <t>Speech Client</t>
  </si>
  <si>
    <t>Heuristicas foneticas, normalizacao</t>
  </si>
  <si>
    <t>Desenvolver CNPJ Validator (digitos verificadores)</t>
  </si>
  <si>
    <t>Parser</t>
  </si>
  <si>
    <t>S5</t>
  </si>
  <si>
    <t>Algoritmo novo CNPJ alfanumerico</t>
  </si>
  <si>
    <t>Desenvolver Retry &amp; Fallback Handler</t>
  </si>
  <si>
    <t>Validator</t>
  </si>
  <si>
    <t>Max 3 tentativas, fallback para operador</t>
  </si>
  <si>
    <t>Desenvolver Response Builder (JSON estruturado)</t>
  </si>
  <si>
    <t>Retry</t>
  </si>
  <si>
    <t>CNPJ, confianca, status</t>
  </si>
  <si>
    <t>Integrar App Insights SDK (telemetria)</t>
  </si>
  <si>
    <t>App base</t>
  </si>
  <si>
    <t>Metricas de latencia, erros, throughput</t>
  </si>
  <si>
    <t>Integrar Redis para session cache</t>
  </si>
  <si>
    <t>Sessao por call-id</t>
  </si>
  <si>
    <t>FASE 9: OBSERVABILIDADE</t>
  </si>
  <si>
    <t>Azure Monitor</t>
  </si>
  <si>
    <t>Criar Log Analytics Workspace</t>
  </si>
  <si>
    <t>Retencao 30 dias</t>
  </si>
  <si>
    <t>App Insights</t>
  </si>
  <si>
    <t>Configurar Application Insights + connection string</t>
  </si>
  <si>
    <t>Log Analytics</t>
  </si>
  <si>
    <t>Linked ao workspace</t>
  </si>
  <si>
    <t>Criar alertas criticos (VPN down, latencia, error rate)</t>
  </si>
  <si>
    <t>Action group: email/SMS</t>
  </si>
  <si>
    <t>Criar dashboard operacional basico</t>
  </si>
  <si>
    <t>Metricas</t>
  </si>
  <si>
    <t>KPIs: latencia, taxa ASR, erros</t>
  </si>
  <si>
    <t>FASE 10: INTEGRACAO E TESTES END-TO-END</t>
  </si>
  <si>
    <t>Integracao Avaya</t>
  </si>
  <si>
    <t>Configurar SBC para enviar audio via VPN/WebSocket</t>
  </si>
  <si>
    <t>VPN + App</t>
  </si>
  <si>
    <t>S5-S6</t>
  </si>
  <si>
    <t>Depende da equipe Atento</t>
  </si>
  <si>
    <t>Testar fluxo completo: URA -&gt; VPN -&gt; APIM -&gt; ASR -&gt; resposta</t>
  </si>
  <si>
    <t>Integracao</t>
  </si>
  <si>
    <t>S6</t>
  </si>
  <si>
    <t>Ligacao real com CNPJ de teste</t>
  </si>
  <si>
    <t>Teste E2E</t>
  </si>
  <si>
    <t>Testes funcionais com diferentes CNPJs alfanumericos</t>
  </si>
  <si>
    <t>QA / Tester</t>
  </si>
  <si>
    <t>Integracao OK</t>
  </si>
  <si>
    <t>Cenarios: sucesso, retry, fallback</t>
  </si>
  <si>
    <t>Testes de latencia (medir E2E &lt; 1s)</t>
  </si>
  <si>
    <t>Funcional OK</t>
  </si>
  <si>
    <t>Medir cada etapa do pipeline</t>
  </si>
  <si>
    <t>Testes com sotaques regionais e ruido de fundo</t>
  </si>
  <si>
    <t>SP, RJ, NE, Sul</t>
  </si>
  <si>
    <t>Testes de resiliencia (derrubar componentes)</t>
  </si>
  <si>
    <t>S6-S7</t>
  </si>
  <si>
    <t>VM restart, Redis flush, VPN drop</t>
  </si>
  <si>
    <t>Documentacao tecnica e handover</t>
  </si>
  <si>
    <t>Testes OK</t>
  </si>
  <si>
    <t>S7</t>
  </si>
  <si>
    <t>Runbook operacional, diagrama atualizado</t>
  </si>
  <si>
    <t>Apresentacao de resultados e proximos passos</t>
  </si>
  <si>
    <t>Doc</t>
  </si>
  <si>
    <t>Reuniao com Atento</t>
  </si>
  <si>
    <t>TOTAL GERAL DE HORAS</t>
  </si>
  <si>
    <t>Resumo de Horas por Perfil de Analista</t>
  </si>
  <si>
    <t>Perfil do Analista</t>
  </si>
  <si>
    <t>Horas Totais</t>
  </si>
  <si>
    <t>Semanas Alocadas</t>
  </si>
  <si>
    <t>Custo Estimado (ref)</t>
  </si>
  <si>
    <t>Planejamento, VPN, integracao Avaya, documentacao</t>
  </si>
  <si>
    <t>Cloud Engineer / DevOps</t>
  </si>
  <si>
    <t>Provisionamento Azure, IaC, networking, seguranca</t>
  </si>
  <si>
    <t>Desenvolvedor Backend (Senior)</t>
  </si>
  <si>
    <t>Codigo ASR Orchestrator, Speech SDK, Custom Model</t>
  </si>
  <si>
    <t>Testes E2E, latencia, resiliencia, sotaques</t>
  </si>
  <si>
    <t>TOTAL</t>
  </si>
  <si>
    <t>Premissas:</t>
  </si>
  <si>
    <t>- Semana de 40h (8h/dia x 5 dias)</t>
  </si>
  <si>
    <t>- Atividades podem ser paralelas entre perfis diferentes</t>
  </si>
  <si>
    <t>- Duracao total estimada: 6-7 semanas (com paralelismo)</t>
  </si>
  <si>
    <t>- Dependencia critica: informacoes tecnicas da Atento (IPs, Avaya, firewall)</t>
  </si>
  <si>
    <t>- Custom Speech Model pode exigir iteracoes adicionais se acuracia &lt; 85%</t>
  </si>
  <si>
    <t>Horas de Configuracao por Recurso Azure</t>
  </si>
  <si>
    <t>Recurso Azure</t>
  </si>
  <si>
    <t>Horas Config.</t>
  </si>
  <si>
    <t>Horas Desenvolvimento</t>
  </si>
  <si>
    <t>Horas Total</t>
  </si>
  <si>
    <t>Planejamento / Design Geral</t>
  </si>
  <si>
    <t>Azure Subscription + Resource Groups</t>
  </si>
  <si>
    <t>VNet + Subnets + NSGs + Route Tables</t>
  </si>
  <si>
    <t>VPN Gateway (S2S + BGP + testes)</t>
  </si>
  <si>
    <t>Key Vault + Managed Identity</t>
  </si>
  <si>
    <t>Redis Cache + Private Endpoint</t>
  </si>
  <si>
    <t>Private Endpoints (todos) + DNS</t>
  </si>
  <si>
    <t>API Management Developer (VNet injection)</t>
  </si>
  <si>
    <t>Virtual Machine D2s v3 (setup + hardening)</t>
  </si>
  <si>
    <t>Speech Services + Custom Model</t>
  </si>
  <si>
    <t>ASR Orchestrator (codigo da aplicacao)</t>
  </si>
  <si>
    <t>Azure Monitor + App Insights + Alertas</t>
  </si>
  <si>
    <t>Integracao Avaya (com equipe Atento)</t>
  </si>
  <si>
    <t>Testes E2E + Documentacao</t>
  </si>
  <si>
    <t>Config. = provisionamento e configuracao de infra Azure</t>
  </si>
  <si>
    <t>Desenvolvimento = codigo, integracao, treinamento ML, testes</t>
  </si>
  <si>
    <t>Timeline de Execucao - MVP PoC (7 semanas)</t>
  </si>
  <si>
    <t>Fase / Atividade</t>
  </si>
  <si>
    <t>Perfil Principal</t>
  </si>
  <si>
    <t>1. Planejamento e Design</t>
  </si>
  <si>
    <t>X</t>
  </si>
  <si>
    <t>2. Subscription + VNet + NSGs</t>
  </si>
  <si>
    <t>3. Key Vault + Secrets</t>
  </si>
  <si>
    <t>4. VPN Gateway + Tunel S2S</t>
  </si>
  <si>
    <t>5. Teste conectividade VPN</t>
  </si>
  <si>
    <t>Cloud Engineer + Atento</t>
  </si>
  <si>
    <t>6. Speech Services + PE</t>
  </si>
  <si>
    <t>7. Redis Cache + PE</t>
  </si>
  <si>
    <t>8. API Management Developer</t>
  </si>
  <si>
    <t>9. VM D2s v3 (setup + hardening)</t>
  </si>
  <si>
    <t>10. Custom Speech Model (treino)</t>
  </si>
  <si>
    <t>11. ASR Orchestrator (codigo)</t>
  </si>
  <si>
    <t>12. APIM Policies + APIs</t>
  </si>
  <si>
    <t>13. Observabilidade (Monitor/Alerts)</t>
  </si>
  <si>
    <t>14. Integracao Avaya</t>
  </si>
  <si>
    <t>Arquiteto + Atento</t>
  </si>
  <si>
    <t>15. Testes E2E + Validacao</t>
  </si>
  <si>
    <t>16. Documentacao + Handover</t>
  </si>
  <si>
    <t>1 Semana</t>
  </si>
  <si>
    <t>2 Semanas</t>
  </si>
  <si>
    <t>5 Semanas</t>
  </si>
  <si>
    <t xml:space="preserve"> SRE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</si>
</sst>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2F5496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i/>
      <sz val="9"/>
      <name val="Calibri"/>
    </font>
    <font>
      <b/>
      <sz val="9"/>
      <color rgb="FFFFFFFF"/>
      <name val="Calibri"/>
    </font>
    <font>
      <b/>
      <sz val="10"/>
      <color theme="0"/>
      <name val="Calibri"/>
      <family val="2"/>
    </font>
    <font>
      <b/>
      <sz val="14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4" fillId="4" borderId="1" xfId="0" applyFont="1" applyFill="1" applyBorder="1"/>
    <xf numFmtId="0" fontId="0" fillId="4" borderId="1" xfId="0" applyFill="1" applyBorder="1"/>
    <xf numFmtId="0" fontId="2" fillId="0" borderId="0" xfId="0" applyFont="1"/>
    <xf numFmtId="0" fontId="0" fillId="0" borderId="1" xfId="0" applyBorder="1" applyAlignment="1">
      <alignment horizontal="center" wrapText="1"/>
    </xf>
    <xf numFmtId="0" fontId="10" fillId="8" borderId="0" xfId="0" applyFont="1" applyFill="1" applyAlignment="1">
      <alignment horizontal="center"/>
    </xf>
    <xf numFmtId="0" fontId="6" fillId="9" borderId="0" xfId="0" applyFont="1" applyFill="1"/>
    <xf numFmtId="0" fontId="0" fillId="9" borderId="0" xfId="0" applyFill="1"/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5" borderId="10" xfId="0" applyFont="1" applyFill="1" applyBorder="1"/>
    <xf numFmtId="0" fontId="5" fillId="5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/>
    </xf>
    <xf numFmtId="0" fontId="0" fillId="5" borderId="1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opLeftCell="A22" workbookViewId="0">
      <selection activeCell="A8" sqref="A8"/>
    </sheetView>
  </sheetViews>
  <sheetFormatPr defaultRowHeight="14.4" x14ac:dyDescent="0.3"/>
  <cols>
    <col min="1" max="1" width="42.6640625" customWidth="1"/>
    <col min="2" max="2" width="30" customWidth="1"/>
    <col min="3" max="3" width="52" customWidth="1"/>
    <col min="4" max="4" width="22" customWidth="1"/>
    <col min="5" max="6" width="16" customWidth="1"/>
    <col min="7" max="7" width="10" customWidth="1"/>
    <col min="8" max="8" width="48" customWidth="1"/>
  </cols>
  <sheetData>
    <row r="1" spans="1:8" ht="18" x14ac:dyDescent="0.35">
      <c r="A1" s="13" t="s">
        <v>0</v>
      </c>
      <c r="B1" s="14"/>
      <c r="C1" s="14"/>
      <c r="D1" s="14"/>
      <c r="E1" s="14"/>
      <c r="F1" s="14"/>
      <c r="G1" s="14"/>
      <c r="H1" s="14"/>
    </row>
    <row r="2" spans="1:8" x14ac:dyDescent="0.3">
      <c r="A2" s="17" t="s">
        <v>1</v>
      </c>
      <c r="B2" s="14"/>
      <c r="C2" s="14"/>
      <c r="D2" s="14"/>
      <c r="E2" s="14"/>
      <c r="F2" s="14"/>
      <c r="G2" s="14"/>
      <c r="H2" s="14"/>
    </row>
    <row r="4" spans="1:8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11" t="s">
        <v>10</v>
      </c>
      <c r="B5" s="12"/>
      <c r="C5" s="12"/>
      <c r="D5" s="12"/>
      <c r="E5" s="12"/>
      <c r="F5" s="12"/>
      <c r="G5" s="12"/>
      <c r="H5" s="12"/>
    </row>
    <row r="6" spans="1:8" x14ac:dyDescent="0.3">
      <c r="A6" s="2"/>
      <c r="B6" s="2" t="s">
        <v>11</v>
      </c>
      <c r="C6" s="2" t="s">
        <v>12</v>
      </c>
      <c r="D6" s="2" t="s">
        <v>13</v>
      </c>
      <c r="E6" s="3">
        <v>4</v>
      </c>
      <c r="F6" s="2" t="s">
        <v>14</v>
      </c>
      <c r="G6" s="2" t="s">
        <v>15</v>
      </c>
      <c r="H6" s="2" t="s">
        <v>16</v>
      </c>
    </row>
    <row r="7" spans="1:8" x14ac:dyDescent="0.3">
      <c r="A7" s="2"/>
      <c r="B7" s="2" t="s">
        <v>11</v>
      </c>
      <c r="C7" s="2" t="s">
        <v>17</v>
      </c>
      <c r="D7" s="2" t="s">
        <v>13</v>
      </c>
      <c r="E7" s="3">
        <v>4</v>
      </c>
      <c r="F7" s="2" t="s">
        <v>14</v>
      </c>
      <c r="G7" s="2" t="s">
        <v>15</v>
      </c>
      <c r="H7" s="2" t="s">
        <v>18</v>
      </c>
    </row>
    <row r="8" spans="1:8" x14ac:dyDescent="0.3">
      <c r="A8" s="2"/>
      <c r="B8" s="2" t="s">
        <v>11</v>
      </c>
      <c r="C8" s="2" t="s">
        <v>19</v>
      </c>
      <c r="D8" s="2" t="s">
        <v>13</v>
      </c>
      <c r="E8" s="3">
        <v>2</v>
      </c>
      <c r="F8" s="2" t="s">
        <v>14</v>
      </c>
      <c r="G8" s="2" t="s">
        <v>15</v>
      </c>
      <c r="H8" s="2" t="s">
        <v>20</v>
      </c>
    </row>
    <row r="9" spans="1:8" ht="28.8" x14ac:dyDescent="0.3">
      <c r="A9" s="2"/>
      <c r="B9" s="2" t="s">
        <v>11</v>
      </c>
      <c r="C9" s="2" t="s">
        <v>21</v>
      </c>
      <c r="D9" s="2" t="s">
        <v>13</v>
      </c>
      <c r="E9" s="3">
        <v>4</v>
      </c>
      <c r="F9" s="2" t="s">
        <v>14</v>
      </c>
      <c r="G9" s="2" t="s">
        <v>15</v>
      </c>
      <c r="H9" s="2" t="s">
        <v>22</v>
      </c>
    </row>
    <row r="10" spans="1:8" x14ac:dyDescent="0.3">
      <c r="A10" s="2"/>
      <c r="B10" s="2" t="s">
        <v>11</v>
      </c>
      <c r="C10" s="2" t="s">
        <v>23</v>
      </c>
      <c r="D10" s="2" t="s">
        <v>13</v>
      </c>
      <c r="E10" s="3">
        <v>4</v>
      </c>
      <c r="F10" s="2" t="s">
        <v>14</v>
      </c>
      <c r="G10" s="2" t="s">
        <v>15</v>
      </c>
      <c r="H10" s="2" t="s">
        <v>24</v>
      </c>
    </row>
    <row r="11" spans="1:8" x14ac:dyDescent="0.3">
      <c r="A11" s="11" t="s">
        <v>25</v>
      </c>
      <c r="B11" s="12"/>
      <c r="C11" s="12"/>
      <c r="D11" s="12"/>
      <c r="E11" s="12"/>
      <c r="F11" s="12"/>
      <c r="G11" s="12"/>
      <c r="H11" s="12"/>
    </row>
    <row r="12" spans="1:8" x14ac:dyDescent="0.3">
      <c r="A12" s="2"/>
      <c r="B12" s="2" t="s">
        <v>26</v>
      </c>
      <c r="C12" s="2" t="s">
        <v>27</v>
      </c>
      <c r="D12" s="2" t="s">
        <v>28</v>
      </c>
      <c r="E12" s="3">
        <v>2</v>
      </c>
      <c r="F12" s="2" t="s">
        <v>14</v>
      </c>
      <c r="G12" s="2" t="s">
        <v>29</v>
      </c>
      <c r="H12" s="2" t="s">
        <v>30</v>
      </c>
    </row>
    <row r="13" spans="1:8" x14ac:dyDescent="0.3">
      <c r="A13" s="2"/>
      <c r="B13" s="2" t="s">
        <v>31</v>
      </c>
      <c r="C13" s="2" t="s">
        <v>32</v>
      </c>
      <c r="D13" s="2" t="s">
        <v>28</v>
      </c>
      <c r="E13" s="3">
        <v>3</v>
      </c>
      <c r="F13" s="2" t="s">
        <v>33</v>
      </c>
      <c r="G13" s="2" t="s">
        <v>29</v>
      </c>
      <c r="H13" s="2" t="s">
        <v>34</v>
      </c>
    </row>
    <row r="14" spans="1:8" x14ac:dyDescent="0.3">
      <c r="A14" s="2"/>
      <c r="B14" s="2" t="s">
        <v>35</v>
      </c>
      <c r="C14" s="2" t="s">
        <v>36</v>
      </c>
      <c r="D14" s="2" t="s">
        <v>28</v>
      </c>
      <c r="E14" s="3">
        <v>3</v>
      </c>
      <c r="F14" s="2" t="s">
        <v>37</v>
      </c>
      <c r="G14" s="2" t="s">
        <v>29</v>
      </c>
      <c r="H14" s="2" t="s">
        <v>38</v>
      </c>
    </row>
    <row r="15" spans="1:8" x14ac:dyDescent="0.3">
      <c r="A15" s="2"/>
      <c r="B15" s="2" t="s">
        <v>39</v>
      </c>
      <c r="C15" s="2" t="s">
        <v>40</v>
      </c>
      <c r="D15" s="2" t="s">
        <v>28</v>
      </c>
      <c r="E15" s="3">
        <v>2</v>
      </c>
      <c r="F15" s="2" t="s">
        <v>37</v>
      </c>
      <c r="G15" s="2" t="s">
        <v>29</v>
      </c>
      <c r="H15" s="2" t="s">
        <v>41</v>
      </c>
    </row>
    <row r="16" spans="1:8" x14ac:dyDescent="0.3">
      <c r="A16" s="2"/>
      <c r="B16" s="2" t="s">
        <v>42</v>
      </c>
      <c r="C16" s="2" t="s">
        <v>43</v>
      </c>
      <c r="D16" s="2" t="s">
        <v>28</v>
      </c>
      <c r="E16" s="3">
        <v>2</v>
      </c>
      <c r="F16" s="2" t="s">
        <v>33</v>
      </c>
      <c r="G16" s="2" t="s">
        <v>29</v>
      </c>
      <c r="H16" s="2" t="s">
        <v>44</v>
      </c>
    </row>
    <row r="17" spans="1:8" x14ac:dyDescent="0.3">
      <c r="A17" s="2"/>
      <c r="B17" s="2" t="s">
        <v>42</v>
      </c>
      <c r="C17" s="2" t="s">
        <v>45</v>
      </c>
      <c r="D17" s="2" t="s">
        <v>28</v>
      </c>
      <c r="E17" s="3">
        <v>1</v>
      </c>
      <c r="F17" s="2" t="s">
        <v>42</v>
      </c>
      <c r="G17" s="2" t="s">
        <v>29</v>
      </c>
      <c r="H17" s="2" t="s">
        <v>46</v>
      </c>
    </row>
    <row r="18" spans="1:8" x14ac:dyDescent="0.3">
      <c r="A18" s="11" t="s">
        <v>47</v>
      </c>
      <c r="B18" s="12"/>
      <c r="C18" s="12"/>
      <c r="D18" s="12"/>
      <c r="E18" s="12"/>
      <c r="F18" s="12"/>
      <c r="G18" s="12"/>
      <c r="H18" s="12"/>
    </row>
    <row r="19" spans="1:8" x14ac:dyDescent="0.3">
      <c r="A19" s="2"/>
      <c r="B19" s="2" t="s">
        <v>48</v>
      </c>
      <c r="C19" s="2" t="s">
        <v>49</v>
      </c>
      <c r="D19" s="2" t="s">
        <v>28</v>
      </c>
      <c r="E19" s="3">
        <v>2</v>
      </c>
      <c r="F19" s="2" t="s">
        <v>37</v>
      </c>
      <c r="G19" s="2" t="s">
        <v>50</v>
      </c>
      <c r="H19" s="2" t="s">
        <v>51</v>
      </c>
    </row>
    <row r="20" spans="1:8" x14ac:dyDescent="0.3">
      <c r="A20" s="2"/>
      <c r="B20" s="2" t="s">
        <v>48</v>
      </c>
      <c r="C20" s="2" t="s">
        <v>52</v>
      </c>
      <c r="D20" s="2" t="s">
        <v>28</v>
      </c>
      <c r="E20" s="3">
        <v>2</v>
      </c>
      <c r="F20" s="2" t="s">
        <v>48</v>
      </c>
      <c r="G20" s="2" t="s">
        <v>53</v>
      </c>
      <c r="H20" s="2" t="s">
        <v>54</v>
      </c>
    </row>
    <row r="21" spans="1:8" x14ac:dyDescent="0.3">
      <c r="A21" s="2"/>
      <c r="B21" s="2" t="s">
        <v>48</v>
      </c>
      <c r="C21" s="2" t="s">
        <v>55</v>
      </c>
      <c r="D21" s="2" t="s">
        <v>28</v>
      </c>
      <c r="E21" s="3">
        <v>2</v>
      </c>
      <c r="F21" s="2" t="s">
        <v>56</v>
      </c>
      <c r="G21" s="2" t="s">
        <v>53</v>
      </c>
      <c r="H21" s="2" t="s">
        <v>57</v>
      </c>
    </row>
    <row r="22" spans="1:8" x14ac:dyDescent="0.3">
      <c r="A22" s="2"/>
      <c r="B22" s="2" t="s">
        <v>48</v>
      </c>
      <c r="C22" s="2" t="s">
        <v>58</v>
      </c>
      <c r="D22" s="2" t="s">
        <v>28</v>
      </c>
      <c r="E22" s="3">
        <v>4</v>
      </c>
      <c r="F22" s="2" t="s">
        <v>59</v>
      </c>
      <c r="G22" s="2" t="s">
        <v>53</v>
      </c>
      <c r="H22" s="2" t="s">
        <v>60</v>
      </c>
    </row>
    <row r="23" spans="1:8" x14ac:dyDescent="0.3">
      <c r="A23" s="2"/>
      <c r="B23" s="2" t="s">
        <v>48</v>
      </c>
      <c r="C23" s="2" t="s">
        <v>61</v>
      </c>
      <c r="D23" s="2" t="s">
        <v>28</v>
      </c>
      <c r="E23" s="3">
        <v>4</v>
      </c>
      <c r="F23" s="2" t="s">
        <v>62</v>
      </c>
      <c r="G23" s="2" t="s">
        <v>53</v>
      </c>
      <c r="H23" s="2" t="s">
        <v>63</v>
      </c>
    </row>
    <row r="24" spans="1:8" x14ac:dyDescent="0.3">
      <c r="A24" s="2"/>
      <c r="B24" s="2" t="s">
        <v>48</v>
      </c>
      <c r="C24" s="2" t="s">
        <v>64</v>
      </c>
      <c r="D24" s="2" t="s">
        <v>13</v>
      </c>
      <c r="E24" s="3">
        <v>2</v>
      </c>
      <c r="F24" s="2" t="s">
        <v>59</v>
      </c>
      <c r="G24" s="2" t="s">
        <v>53</v>
      </c>
      <c r="H24" s="2" t="s">
        <v>65</v>
      </c>
    </row>
    <row r="25" spans="1:8" x14ac:dyDescent="0.3">
      <c r="A25" s="11" t="s">
        <v>66</v>
      </c>
      <c r="B25" s="12"/>
      <c r="C25" s="12"/>
      <c r="D25" s="12"/>
      <c r="E25" s="12"/>
      <c r="F25" s="12"/>
      <c r="G25" s="12"/>
      <c r="H25" s="12"/>
    </row>
    <row r="26" spans="1:8" x14ac:dyDescent="0.3">
      <c r="A26" s="2"/>
      <c r="B26" s="2" t="s">
        <v>67</v>
      </c>
      <c r="C26" s="2" t="s">
        <v>68</v>
      </c>
      <c r="D26" s="2" t="s">
        <v>28</v>
      </c>
      <c r="E26" s="3">
        <v>1</v>
      </c>
      <c r="F26" s="2" t="s">
        <v>37</v>
      </c>
      <c r="G26" s="2" t="s">
        <v>53</v>
      </c>
      <c r="H26" s="2" t="s">
        <v>69</v>
      </c>
    </row>
    <row r="27" spans="1:8" x14ac:dyDescent="0.3">
      <c r="A27" s="2"/>
      <c r="B27" s="2" t="s">
        <v>67</v>
      </c>
      <c r="C27" s="2" t="s">
        <v>70</v>
      </c>
      <c r="D27" s="2" t="s">
        <v>28</v>
      </c>
      <c r="E27" s="3">
        <v>1</v>
      </c>
      <c r="F27" s="2" t="s">
        <v>71</v>
      </c>
      <c r="G27" s="2" t="s">
        <v>53</v>
      </c>
      <c r="H27" s="2" t="s">
        <v>72</v>
      </c>
    </row>
    <row r="28" spans="1:8" x14ac:dyDescent="0.3">
      <c r="A28" s="2"/>
      <c r="B28" s="2" t="s">
        <v>67</v>
      </c>
      <c r="C28" s="2" t="s">
        <v>73</v>
      </c>
      <c r="D28" s="2" t="s">
        <v>28</v>
      </c>
      <c r="E28" s="3">
        <v>1</v>
      </c>
      <c r="F28" s="2" t="s">
        <v>74</v>
      </c>
      <c r="G28" s="2" t="s">
        <v>53</v>
      </c>
      <c r="H28" s="2" t="s">
        <v>75</v>
      </c>
    </row>
    <row r="29" spans="1:8" x14ac:dyDescent="0.3">
      <c r="A29" s="2"/>
      <c r="B29" s="2" t="s">
        <v>76</v>
      </c>
      <c r="C29" s="2" t="s">
        <v>77</v>
      </c>
      <c r="D29" s="2" t="s">
        <v>28</v>
      </c>
      <c r="E29" s="3">
        <v>1</v>
      </c>
      <c r="F29" s="2" t="s">
        <v>78</v>
      </c>
      <c r="G29" s="2" t="s">
        <v>53</v>
      </c>
      <c r="H29" s="2" t="s">
        <v>79</v>
      </c>
    </row>
    <row r="30" spans="1:8" x14ac:dyDescent="0.3">
      <c r="A30" s="2"/>
      <c r="B30" s="2" t="s">
        <v>76</v>
      </c>
      <c r="C30" s="2" t="s">
        <v>80</v>
      </c>
      <c r="D30" s="2" t="s">
        <v>28</v>
      </c>
      <c r="E30" s="3">
        <v>2</v>
      </c>
      <c r="F30" s="2" t="s">
        <v>81</v>
      </c>
      <c r="G30" s="2" t="s">
        <v>53</v>
      </c>
      <c r="H30" s="2" t="s">
        <v>82</v>
      </c>
    </row>
    <row r="31" spans="1:8" x14ac:dyDescent="0.3">
      <c r="A31" s="11" t="s">
        <v>83</v>
      </c>
      <c r="B31" s="12"/>
      <c r="C31" s="12"/>
      <c r="D31" s="12"/>
      <c r="E31" s="12"/>
      <c r="F31" s="12"/>
      <c r="G31" s="12"/>
      <c r="H31" s="12"/>
    </row>
    <row r="32" spans="1:8" x14ac:dyDescent="0.3">
      <c r="A32" s="2"/>
      <c r="B32" s="2" t="s">
        <v>84</v>
      </c>
      <c r="C32" s="2" t="s">
        <v>85</v>
      </c>
      <c r="D32" s="2" t="s">
        <v>28</v>
      </c>
      <c r="E32" s="3">
        <v>2</v>
      </c>
      <c r="F32" s="2" t="s">
        <v>37</v>
      </c>
      <c r="G32" s="2" t="s">
        <v>53</v>
      </c>
      <c r="H32" s="2" t="s">
        <v>86</v>
      </c>
    </row>
    <row r="33" spans="1:8" x14ac:dyDescent="0.3">
      <c r="A33" s="2"/>
      <c r="B33" s="2" t="s">
        <v>84</v>
      </c>
      <c r="C33" s="2" t="s">
        <v>87</v>
      </c>
      <c r="D33" s="2" t="s">
        <v>28</v>
      </c>
      <c r="E33" s="3">
        <v>3</v>
      </c>
      <c r="F33" s="2" t="s">
        <v>88</v>
      </c>
      <c r="G33" s="2" t="s">
        <v>53</v>
      </c>
      <c r="H33" s="2" t="s">
        <v>89</v>
      </c>
    </row>
    <row r="34" spans="1:8" x14ac:dyDescent="0.3">
      <c r="A34" s="2"/>
      <c r="B34" s="2" t="s">
        <v>84</v>
      </c>
      <c r="C34" s="2" t="s">
        <v>90</v>
      </c>
      <c r="D34" s="2" t="s">
        <v>91</v>
      </c>
      <c r="E34" s="3">
        <v>4</v>
      </c>
      <c r="F34" s="2" t="s">
        <v>92</v>
      </c>
      <c r="G34" s="2" t="s">
        <v>93</v>
      </c>
      <c r="H34" s="2" t="s">
        <v>94</v>
      </c>
    </row>
    <row r="35" spans="1:8" x14ac:dyDescent="0.3">
      <c r="A35" s="2"/>
      <c r="B35" s="2" t="s">
        <v>84</v>
      </c>
      <c r="C35" s="2" t="s">
        <v>95</v>
      </c>
      <c r="D35" s="2" t="s">
        <v>91</v>
      </c>
      <c r="E35" s="3">
        <v>3</v>
      </c>
      <c r="F35" s="2" t="s">
        <v>96</v>
      </c>
      <c r="G35" s="2" t="s">
        <v>93</v>
      </c>
      <c r="H35" s="2" t="s">
        <v>97</v>
      </c>
    </row>
    <row r="36" spans="1:8" x14ac:dyDescent="0.3">
      <c r="A36" s="2"/>
      <c r="B36" s="2" t="s">
        <v>84</v>
      </c>
      <c r="C36" s="2" t="s">
        <v>98</v>
      </c>
      <c r="D36" s="2" t="s">
        <v>91</v>
      </c>
      <c r="E36" s="3">
        <v>2</v>
      </c>
      <c r="F36" s="2" t="s">
        <v>99</v>
      </c>
      <c r="G36" s="2" t="s">
        <v>93</v>
      </c>
      <c r="H36" s="2" t="s">
        <v>100</v>
      </c>
    </row>
    <row r="37" spans="1:8" x14ac:dyDescent="0.3">
      <c r="A37" s="11" t="s">
        <v>101</v>
      </c>
      <c r="B37" s="12"/>
      <c r="C37" s="12"/>
      <c r="D37" s="12"/>
      <c r="E37" s="12"/>
      <c r="F37" s="12"/>
      <c r="G37" s="12"/>
      <c r="H37" s="12"/>
    </row>
    <row r="38" spans="1:8" x14ac:dyDescent="0.3">
      <c r="A38" s="2"/>
      <c r="B38" s="2" t="s">
        <v>102</v>
      </c>
      <c r="C38" s="2" t="s">
        <v>103</v>
      </c>
      <c r="D38" s="2" t="s">
        <v>28</v>
      </c>
      <c r="E38" s="3">
        <v>2</v>
      </c>
      <c r="F38" s="2" t="s">
        <v>37</v>
      </c>
      <c r="G38" s="2" t="s">
        <v>53</v>
      </c>
      <c r="H38" s="2" t="s">
        <v>104</v>
      </c>
    </row>
    <row r="39" spans="1:8" x14ac:dyDescent="0.3">
      <c r="A39" s="2"/>
      <c r="B39" s="2" t="s">
        <v>102</v>
      </c>
      <c r="C39" s="2" t="s">
        <v>105</v>
      </c>
      <c r="D39" s="2" t="s">
        <v>28</v>
      </c>
      <c r="E39" s="3">
        <v>2</v>
      </c>
      <c r="F39" s="2" t="s">
        <v>106</v>
      </c>
      <c r="G39" s="2" t="s">
        <v>53</v>
      </c>
      <c r="H39" s="2" t="s">
        <v>107</v>
      </c>
    </row>
    <row r="40" spans="1:8" x14ac:dyDescent="0.3">
      <c r="A40" s="2"/>
      <c r="B40" s="2" t="s">
        <v>102</v>
      </c>
      <c r="C40" s="2" t="s">
        <v>108</v>
      </c>
      <c r="D40" s="2" t="s">
        <v>28</v>
      </c>
      <c r="E40" s="3">
        <v>2</v>
      </c>
      <c r="F40" s="2" t="s">
        <v>109</v>
      </c>
      <c r="G40" s="2" t="s">
        <v>53</v>
      </c>
      <c r="H40" s="2" t="s">
        <v>110</v>
      </c>
    </row>
    <row r="41" spans="1:8" x14ac:dyDescent="0.3">
      <c r="A41" s="2"/>
      <c r="B41" s="2" t="s">
        <v>102</v>
      </c>
      <c r="C41" s="2" t="s">
        <v>111</v>
      </c>
      <c r="D41" s="2" t="s">
        <v>28</v>
      </c>
      <c r="E41" s="3">
        <v>1</v>
      </c>
      <c r="F41" s="2" t="s">
        <v>112</v>
      </c>
      <c r="G41" s="2" t="s">
        <v>53</v>
      </c>
      <c r="H41" s="2" t="s">
        <v>113</v>
      </c>
    </row>
    <row r="42" spans="1:8" x14ac:dyDescent="0.3">
      <c r="A42" s="2"/>
      <c r="B42" s="2" t="s">
        <v>102</v>
      </c>
      <c r="C42" s="2" t="s">
        <v>114</v>
      </c>
      <c r="D42" s="2" t="s">
        <v>28</v>
      </c>
      <c r="E42" s="3">
        <v>2</v>
      </c>
      <c r="F42" s="2" t="s">
        <v>115</v>
      </c>
      <c r="G42" s="2" t="s">
        <v>93</v>
      </c>
      <c r="H42" s="2" t="s">
        <v>116</v>
      </c>
    </row>
    <row r="43" spans="1:8" x14ac:dyDescent="0.3">
      <c r="A43" s="11" t="s">
        <v>117</v>
      </c>
      <c r="B43" s="12"/>
      <c r="C43" s="12"/>
      <c r="D43" s="12"/>
      <c r="E43" s="12"/>
      <c r="F43" s="12"/>
      <c r="G43" s="12"/>
      <c r="H43" s="12"/>
    </row>
    <row r="44" spans="1:8" x14ac:dyDescent="0.3">
      <c r="A44" s="2"/>
      <c r="B44" s="2" t="s">
        <v>118</v>
      </c>
      <c r="C44" s="2" t="s">
        <v>119</v>
      </c>
      <c r="D44" s="2" t="s">
        <v>28</v>
      </c>
      <c r="E44" s="3">
        <v>1</v>
      </c>
      <c r="F44" s="2" t="s">
        <v>33</v>
      </c>
      <c r="G44" s="2" t="s">
        <v>29</v>
      </c>
      <c r="H44" s="2" t="s">
        <v>120</v>
      </c>
    </row>
    <row r="45" spans="1:8" x14ac:dyDescent="0.3">
      <c r="A45" s="2"/>
      <c r="B45" s="2" t="s">
        <v>118</v>
      </c>
      <c r="C45" s="2" t="s">
        <v>121</v>
      </c>
      <c r="D45" s="2" t="s">
        <v>28</v>
      </c>
      <c r="E45" s="3">
        <v>1</v>
      </c>
      <c r="F45" s="2" t="s">
        <v>78</v>
      </c>
      <c r="G45" s="2" t="s">
        <v>53</v>
      </c>
      <c r="H45" s="2" t="s">
        <v>122</v>
      </c>
    </row>
    <row r="46" spans="1:8" x14ac:dyDescent="0.3">
      <c r="A46" s="2"/>
      <c r="B46" s="2" t="s">
        <v>123</v>
      </c>
      <c r="C46" s="2" t="s">
        <v>124</v>
      </c>
      <c r="D46" s="2" t="s">
        <v>91</v>
      </c>
      <c r="E46" s="3">
        <v>8</v>
      </c>
      <c r="F46" s="2" t="s">
        <v>14</v>
      </c>
      <c r="G46" s="2" t="s">
        <v>50</v>
      </c>
      <c r="H46" s="2" t="s">
        <v>125</v>
      </c>
    </row>
    <row r="47" spans="1:8" x14ac:dyDescent="0.3">
      <c r="A47" s="2"/>
      <c r="B47" s="2" t="s">
        <v>123</v>
      </c>
      <c r="C47" s="2" t="s">
        <v>126</v>
      </c>
      <c r="D47" s="2" t="s">
        <v>91</v>
      </c>
      <c r="E47" s="3">
        <v>4</v>
      </c>
      <c r="F47" s="2" t="s">
        <v>127</v>
      </c>
      <c r="G47" s="2" t="s">
        <v>128</v>
      </c>
      <c r="H47" s="2" t="s">
        <v>129</v>
      </c>
    </row>
    <row r="48" spans="1:8" x14ac:dyDescent="0.3">
      <c r="A48" s="2"/>
      <c r="B48" s="2" t="s">
        <v>123</v>
      </c>
      <c r="C48" s="2" t="s">
        <v>130</v>
      </c>
      <c r="D48" s="2" t="s">
        <v>91</v>
      </c>
      <c r="E48" s="3">
        <v>4</v>
      </c>
      <c r="F48" s="2" t="s">
        <v>131</v>
      </c>
      <c r="G48" s="2" t="s">
        <v>93</v>
      </c>
      <c r="H48" s="2" t="s">
        <v>132</v>
      </c>
    </row>
    <row r="49" spans="1:8" x14ac:dyDescent="0.3">
      <c r="A49" s="2"/>
      <c r="B49" s="2" t="s">
        <v>123</v>
      </c>
      <c r="C49" s="2" t="s">
        <v>133</v>
      </c>
      <c r="D49" s="2" t="s">
        <v>91</v>
      </c>
      <c r="E49" s="3">
        <v>2</v>
      </c>
      <c r="F49" s="2" t="s">
        <v>134</v>
      </c>
      <c r="G49" s="2" t="s">
        <v>93</v>
      </c>
      <c r="H49" s="2" t="s">
        <v>135</v>
      </c>
    </row>
    <row r="50" spans="1:8" x14ac:dyDescent="0.3">
      <c r="A50" s="2"/>
      <c r="B50" s="2" t="s">
        <v>123</v>
      </c>
      <c r="C50" s="2" t="s">
        <v>136</v>
      </c>
      <c r="D50" s="2" t="s">
        <v>91</v>
      </c>
      <c r="E50" s="3">
        <v>8</v>
      </c>
      <c r="F50" s="2" t="s">
        <v>137</v>
      </c>
      <c r="G50" s="2" t="s">
        <v>138</v>
      </c>
      <c r="H50" s="2" t="s">
        <v>139</v>
      </c>
    </row>
    <row r="51" spans="1:8" x14ac:dyDescent="0.3">
      <c r="A51" s="11" t="s">
        <v>140</v>
      </c>
      <c r="B51" s="12"/>
      <c r="C51" s="12"/>
      <c r="D51" s="12"/>
      <c r="E51" s="12"/>
      <c r="F51" s="12"/>
      <c r="G51" s="12"/>
      <c r="H51" s="12"/>
    </row>
    <row r="52" spans="1:8" x14ac:dyDescent="0.3">
      <c r="A52" s="2"/>
      <c r="B52" s="2" t="s">
        <v>141</v>
      </c>
      <c r="C52" s="2" t="s">
        <v>142</v>
      </c>
      <c r="D52" s="2" t="s">
        <v>91</v>
      </c>
      <c r="E52" s="3">
        <v>12</v>
      </c>
      <c r="F52" s="2" t="s">
        <v>143</v>
      </c>
      <c r="G52" s="2" t="s">
        <v>128</v>
      </c>
      <c r="H52" s="2" t="s">
        <v>144</v>
      </c>
    </row>
    <row r="53" spans="1:8" x14ac:dyDescent="0.3">
      <c r="A53" s="2"/>
      <c r="B53" s="2" t="s">
        <v>141</v>
      </c>
      <c r="C53" s="2" t="s">
        <v>145</v>
      </c>
      <c r="D53" s="2" t="s">
        <v>91</v>
      </c>
      <c r="E53" s="3">
        <v>8</v>
      </c>
      <c r="F53" s="2" t="s">
        <v>78</v>
      </c>
      <c r="G53" s="2" t="s">
        <v>93</v>
      </c>
      <c r="H53" s="2" t="s">
        <v>146</v>
      </c>
    </row>
    <row r="54" spans="1:8" x14ac:dyDescent="0.3">
      <c r="A54" s="2"/>
      <c r="B54" s="2" t="s">
        <v>141</v>
      </c>
      <c r="C54" s="2" t="s">
        <v>147</v>
      </c>
      <c r="D54" s="2" t="s">
        <v>91</v>
      </c>
      <c r="E54" s="3">
        <v>6</v>
      </c>
      <c r="F54" s="2" t="s">
        <v>148</v>
      </c>
      <c r="G54" s="2" t="s">
        <v>93</v>
      </c>
      <c r="H54" s="2" t="s">
        <v>149</v>
      </c>
    </row>
    <row r="55" spans="1:8" x14ac:dyDescent="0.3">
      <c r="A55" s="2"/>
      <c r="B55" s="2" t="s">
        <v>141</v>
      </c>
      <c r="C55" s="2" t="s">
        <v>150</v>
      </c>
      <c r="D55" s="2" t="s">
        <v>91</v>
      </c>
      <c r="E55" s="3">
        <v>8</v>
      </c>
      <c r="F55" s="2" t="s">
        <v>151</v>
      </c>
      <c r="G55" s="2" t="s">
        <v>138</v>
      </c>
      <c r="H55" s="2" t="s">
        <v>152</v>
      </c>
    </row>
    <row r="56" spans="1:8" x14ac:dyDescent="0.3">
      <c r="A56" s="2"/>
      <c r="B56" s="2" t="s">
        <v>141</v>
      </c>
      <c r="C56" s="2" t="s">
        <v>153</v>
      </c>
      <c r="D56" s="2" t="s">
        <v>91</v>
      </c>
      <c r="E56" s="3">
        <v>4</v>
      </c>
      <c r="F56" s="2" t="s">
        <v>154</v>
      </c>
      <c r="G56" s="2" t="s">
        <v>155</v>
      </c>
      <c r="H56" s="2" t="s">
        <v>156</v>
      </c>
    </row>
    <row r="57" spans="1:8" x14ac:dyDescent="0.3">
      <c r="A57" s="2"/>
      <c r="B57" s="2" t="s">
        <v>141</v>
      </c>
      <c r="C57" s="2" t="s">
        <v>157</v>
      </c>
      <c r="D57" s="2" t="s">
        <v>91</v>
      </c>
      <c r="E57" s="3">
        <v>4</v>
      </c>
      <c r="F57" s="2" t="s">
        <v>158</v>
      </c>
      <c r="G57" s="2" t="s">
        <v>155</v>
      </c>
      <c r="H57" s="2" t="s">
        <v>159</v>
      </c>
    </row>
    <row r="58" spans="1:8" x14ac:dyDescent="0.3">
      <c r="A58" s="2"/>
      <c r="B58" s="2" t="s">
        <v>141</v>
      </c>
      <c r="C58" s="2" t="s">
        <v>160</v>
      </c>
      <c r="D58" s="2" t="s">
        <v>91</v>
      </c>
      <c r="E58" s="3">
        <v>2</v>
      </c>
      <c r="F58" s="2" t="s">
        <v>161</v>
      </c>
      <c r="G58" s="2" t="s">
        <v>155</v>
      </c>
      <c r="H58" s="2" t="s">
        <v>162</v>
      </c>
    </row>
    <row r="59" spans="1:8" x14ac:dyDescent="0.3">
      <c r="A59" s="2"/>
      <c r="B59" s="2" t="s">
        <v>141</v>
      </c>
      <c r="C59" s="2" t="s">
        <v>163</v>
      </c>
      <c r="D59" s="2" t="s">
        <v>91</v>
      </c>
      <c r="E59" s="3">
        <v>3</v>
      </c>
      <c r="F59" s="2" t="s">
        <v>164</v>
      </c>
      <c r="G59" s="2" t="s">
        <v>155</v>
      </c>
      <c r="H59" s="2" t="s">
        <v>165</v>
      </c>
    </row>
    <row r="60" spans="1:8" x14ac:dyDescent="0.3">
      <c r="A60" s="2"/>
      <c r="B60" s="2" t="s">
        <v>141</v>
      </c>
      <c r="C60" s="2" t="s">
        <v>166</v>
      </c>
      <c r="D60" s="2" t="s">
        <v>91</v>
      </c>
      <c r="E60" s="3">
        <v>3</v>
      </c>
      <c r="F60" s="2" t="s">
        <v>74</v>
      </c>
      <c r="G60" s="2" t="s">
        <v>155</v>
      </c>
      <c r="H60" s="2" t="s">
        <v>167</v>
      </c>
    </row>
    <row r="61" spans="1:8" x14ac:dyDescent="0.3">
      <c r="A61" s="11" t="s">
        <v>168</v>
      </c>
      <c r="B61" s="12"/>
      <c r="C61" s="12"/>
      <c r="D61" s="12"/>
      <c r="E61" s="12"/>
      <c r="F61" s="12"/>
      <c r="G61" s="12"/>
      <c r="H61" s="12"/>
    </row>
    <row r="62" spans="1:8" x14ac:dyDescent="0.3">
      <c r="A62" s="2"/>
      <c r="B62" s="2" t="s">
        <v>169</v>
      </c>
      <c r="C62" s="2" t="s">
        <v>170</v>
      </c>
      <c r="D62" s="2" t="s">
        <v>28</v>
      </c>
      <c r="E62" s="3">
        <v>1</v>
      </c>
      <c r="F62" s="2" t="s">
        <v>33</v>
      </c>
      <c r="G62" s="2" t="s">
        <v>93</v>
      </c>
      <c r="H62" s="2" t="s">
        <v>171</v>
      </c>
    </row>
    <row r="63" spans="1:8" x14ac:dyDescent="0.3">
      <c r="A63" s="2"/>
      <c r="B63" s="2" t="s">
        <v>172</v>
      </c>
      <c r="C63" s="2" t="s">
        <v>173</v>
      </c>
      <c r="D63" s="2" t="s">
        <v>28</v>
      </c>
      <c r="E63" s="3">
        <v>1</v>
      </c>
      <c r="F63" s="2" t="s">
        <v>174</v>
      </c>
      <c r="G63" s="2" t="s">
        <v>93</v>
      </c>
      <c r="H63" s="2" t="s">
        <v>175</v>
      </c>
    </row>
    <row r="64" spans="1:8" x14ac:dyDescent="0.3">
      <c r="A64" s="2"/>
      <c r="B64" s="2" t="s">
        <v>169</v>
      </c>
      <c r="C64" s="2" t="s">
        <v>176</v>
      </c>
      <c r="D64" s="2" t="s">
        <v>28</v>
      </c>
      <c r="E64" s="3">
        <v>2</v>
      </c>
      <c r="F64" s="2" t="s">
        <v>172</v>
      </c>
      <c r="G64" s="2" t="s">
        <v>155</v>
      </c>
      <c r="H64" s="2" t="s">
        <v>177</v>
      </c>
    </row>
    <row r="65" spans="1:8" x14ac:dyDescent="0.3">
      <c r="A65" s="2"/>
      <c r="B65" s="2" t="s">
        <v>169</v>
      </c>
      <c r="C65" s="2" t="s">
        <v>178</v>
      </c>
      <c r="D65" s="2" t="s">
        <v>28</v>
      </c>
      <c r="E65" s="3">
        <v>2</v>
      </c>
      <c r="F65" s="2" t="s">
        <v>179</v>
      </c>
      <c r="G65" s="2" t="s">
        <v>155</v>
      </c>
      <c r="H65" s="2" t="s">
        <v>180</v>
      </c>
    </row>
    <row r="66" spans="1:8" x14ac:dyDescent="0.3">
      <c r="A66" s="11" t="s">
        <v>181</v>
      </c>
      <c r="B66" s="12"/>
      <c r="C66" s="12"/>
      <c r="D66" s="12"/>
      <c r="E66" s="12"/>
      <c r="F66" s="12"/>
      <c r="G66" s="12"/>
      <c r="H66" s="12"/>
    </row>
    <row r="67" spans="1:8" x14ac:dyDescent="0.3">
      <c r="A67" s="2"/>
      <c r="B67" s="2" t="s">
        <v>182</v>
      </c>
      <c r="C67" s="2" t="s">
        <v>183</v>
      </c>
      <c r="D67" s="2" t="s">
        <v>13</v>
      </c>
      <c r="E67" s="3">
        <v>8</v>
      </c>
      <c r="F67" s="2" t="s">
        <v>184</v>
      </c>
      <c r="G67" s="2" t="s">
        <v>185</v>
      </c>
      <c r="H67" s="2" t="s">
        <v>186</v>
      </c>
    </row>
    <row r="68" spans="1:8" ht="28.8" x14ac:dyDescent="0.3">
      <c r="A68" s="2"/>
      <c r="B68" s="2" t="s">
        <v>182</v>
      </c>
      <c r="C68" s="2" t="s">
        <v>187</v>
      </c>
      <c r="D68" s="2" t="s">
        <v>13</v>
      </c>
      <c r="E68" s="3">
        <v>6</v>
      </c>
      <c r="F68" s="2" t="s">
        <v>188</v>
      </c>
      <c r="G68" s="2" t="s">
        <v>189</v>
      </c>
      <c r="H68" s="2" t="s">
        <v>190</v>
      </c>
    </row>
    <row r="69" spans="1:8" x14ac:dyDescent="0.3">
      <c r="A69" s="2"/>
      <c r="B69" s="2" t="s">
        <v>191</v>
      </c>
      <c r="C69" s="2" t="s">
        <v>192</v>
      </c>
      <c r="D69" s="2" t="s">
        <v>193</v>
      </c>
      <c r="E69" s="3">
        <v>8</v>
      </c>
      <c r="F69" s="2" t="s">
        <v>194</v>
      </c>
      <c r="G69" s="2" t="s">
        <v>189</v>
      </c>
      <c r="H69" s="2" t="s">
        <v>195</v>
      </c>
    </row>
    <row r="70" spans="1:8" x14ac:dyDescent="0.3">
      <c r="A70" s="2"/>
      <c r="B70" s="2" t="s">
        <v>191</v>
      </c>
      <c r="C70" s="2" t="s">
        <v>196</v>
      </c>
      <c r="D70" s="2" t="s">
        <v>193</v>
      </c>
      <c r="E70" s="3">
        <v>4</v>
      </c>
      <c r="F70" s="2" t="s">
        <v>197</v>
      </c>
      <c r="G70" s="2" t="s">
        <v>189</v>
      </c>
      <c r="H70" s="2" t="s">
        <v>198</v>
      </c>
    </row>
    <row r="71" spans="1:8" x14ac:dyDescent="0.3">
      <c r="A71" s="2"/>
      <c r="B71" s="2" t="s">
        <v>191</v>
      </c>
      <c r="C71" s="2" t="s">
        <v>199</v>
      </c>
      <c r="D71" s="2" t="s">
        <v>193</v>
      </c>
      <c r="E71" s="3">
        <v>4</v>
      </c>
      <c r="F71" s="2" t="s">
        <v>197</v>
      </c>
      <c r="G71" s="2" t="s">
        <v>189</v>
      </c>
      <c r="H71" s="2" t="s">
        <v>200</v>
      </c>
    </row>
    <row r="72" spans="1:8" x14ac:dyDescent="0.3">
      <c r="A72" s="2"/>
      <c r="B72" s="2" t="s">
        <v>191</v>
      </c>
      <c r="C72" s="2" t="s">
        <v>201</v>
      </c>
      <c r="D72" s="2" t="s">
        <v>193</v>
      </c>
      <c r="E72" s="3">
        <v>4</v>
      </c>
      <c r="F72" s="2" t="s">
        <v>197</v>
      </c>
      <c r="G72" s="2" t="s">
        <v>202</v>
      </c>
      <c r="H72" s="2" t="s">
        <v>203</v>
      </c>
    </row>
    <row r="73" spans="1:8" x14ac:dyDescent="0.3">
      <c r="A73" s="2"/>
      <c r="B73" s="2" t="s">
        <v>11</v>
      </c>
      <c r="C73" s="2" t="s">
        <v>204</v>
      </c>
      <c r="D73" s="2" t="s">
        <v>13</v>
      </c>
      <c r="E73" s="3">
        <v>4</v>
      </c>
      <c r="F73" s="2" t="s">
        <v>205</v>
      </c>
      <c r="G73" s="2" t="s">
        <v>206</v>
      </c>
      <c r="H73" s="2" t="s">
        <v>207</v>
      </c>
    </row>
    <row r="74" spans="1:8" x14ac:dyDescent="0.3">
      <c r="A74" s="2"/>
      <c r="B74" s="2" t="s">
        <v>11</v>
      </c>
      <c r="C74" s="2" t="s">
        <v>208</v>
      </c>
      <c r="D74" s="2" t="s">
        <v>13</v>
      </c>
      <c r="E74" s="3">
        <v>2</v>
      </c>
      <c r="F74" s="2" t="s">
        <v>209</v>
      </c>
      <c r="G74" s="2" t="s">
        <v>206</v>
      </c>
      <c r="H74" s="2" t="s">
        <v>210</v>
      </c>
    </row>
    <row r="75" spans="1:8" x14ac:dyDescent="0.3">
      <c r="A75" s="15" t="s">
        <v>211</v>
      </c>
      <c r="B75" s="16"/>
      <c r="C75" s="16"/>
      <c r="D75" s="16"/>
      <c r="E75" s="5">
        <v>200</v>
      </c>
      <c r="F75" s="4"/>
      <c r="G75" s="4"/>
      <c r="H75" s="4"/>
    </row>
  </sheetData>
  <mergeCells count="13">
    <mergeCell ref="A18:H18"/>
    <mergeCell ref="A1:H1"/>
    <mergeCell ref="A75:D75"/>
    <mergeCell ref="A25:H25"/>
    <mergeCell ref="A43:H43"/>
    <mergeCell ref="A2:H2"/>
    <mergeCell ref="A51:H51"/>
    <mergeCell ref="A11:H11"/>
    <mergeCell ref="A66:H66"/>
    <mergeCell ref="A5:H5"/>
    <mergeCell ref="A37:H37"/>
    <mergeCell ref="A31:H31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sqref="A1:XFD1048576"/>
    </sheetView>
  </sheetViews>
  <sheetFormatPr defaultRowHeight="14.4" x14ac:dyDescent="0.3"/>
  <cols>
    <col min="1" max="1" width="31.77734375" customWidth="1"/>
    <col min="2" max="2" width="13.109375" customWidth="1"/>
    <col min="3" max="3" width="20" customWidth="1"/>
    <col min="4" max="4" width="55" customWidth="1"/>
  </cols>
  <sheetData>
    <row r="1" spans="1:14" ht="18.600000000000001" thickBot="1" x14ac:dyDescent="0.4">
      <c r="A1" s="22" t="s">
        <v>212</v>
      </c>
      <c r="B1" s="23"/>
      <c r="C1" s="23"/>
      <c r="D1" s="24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5" thickBot="1" x14ac:dyDescent="0.35"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x14ac:dyDescent="0.3">
      <c r="A3" s="25" t="s">
        <v>213</v>
      </c>
      <c r="B3" s="26" t="s">
        <v>214</v>
      </c>
      <c r="C3" s="27" t="s">
        <v>215</v>
      </c>
      <c r="D3" s="28" t="s">
        <v>216</v>
      </c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3">
      <c r="A4" s="29" t="s">
        <v>276</v>
      </c>
      <c r="B4" s="3">
        <v>40</v>
      </c>
      <c r="C4" s="18" t="s">
        <v>273</v>
      </c>
      <c r="D4" s="30" t="s">
        <v>217</v>
      </c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x14ac:dyDescent="0.3">
      <c r="A5" s="29" t="s">
        <v>218</v>
      </c>
      <c r="B5" s="3">
        <v>40</v>
      </c>
      <c r="C5" s="18" t="s">
        <v>273</v>
      </c>
      <c r="D5" s="30" t="s">
        <v>219</v>
      </c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x14ac:dyDescent="0.3">
      <c r="A6" s="29" t="s">
        <v>220</v>
      </c>
      <c r="B6" s="3">
        <v>80</v>
      </c>
      <c r="C6" s="18" t="s">
        <v>274</v>
      </c>
      <c r="D6" s="30" t="s">
        <v>221</v>
      </c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9" t="s">
        <v>193</v>
      </c>
      <c r="B7" s="3">
        <v>40</v>
      </c>
      <c r="C7" s="18" t="s">
        <v>273</v>
      </c>
      <c r="D7" s="30" t="s">
        <v>222</v>
      </c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ht="15" thickBot="1" x14ac:dyDescent="0.35">
      <c r="A8" s="31" t="s">
        <v>223</v>
      </c>
      <c r="B8" s="32">
        <f>SUM(B4:B7)</f>
        <v>200</v>
      </c>
      <c r="C8" s="33" t="s">
        <v>275</v>
      </c>
      <c r="D8" s="34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0" t="s">
        <v>224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21" t="s">
        <v>225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3">
      <c r="A12" s="21" t="s">
        <v>226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3">
      <c r="A13" s="21" t="s">
        <v>227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3">
      <c r="A14" s="21" t="s">
        <v>228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x14ac:dyDescent="0.3">
      <c r="A15" s="21" t="s">
        <v>229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x14ac:dyDescent="0.3"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x14ac:dyDescent="0.3">
      <c r="G29" s="21"/>
      <c r="H29" s="21"/>
      <c r="I29" s="21"/>
      <c r="J29" s="21"/>
      <c r="K29" s="21"/>
      <c r="L29" s="21"/>
      <c r="M29" s="21"/>
      <c r="N29" s="21"/>
    </row>
  </sheetData>
  <mergeCells count="1">
    <mergeCell ref="A1:D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XFD1048576"/>
    </sheetView>
  </sheetViews>
  <sheetFormatPr defaultRowHeight="14.4" x14ac:dyDescent="0.3"/>
  <cols>
    <col min="1" max="1" width="42" customWidth="1"/>
    <col min="2" max="2" width="18" customWidth="1"/>
    <col min="3" max="3" width="22" customWidth="1"/>
    <col min="4" max="4" width="16" customWidth="1"/>
  </cols>
  <sheetData>
    <row r="1" spans="1:4" ht="18" x14ac:dyDescent="0.35">
      <c r="A1" s="19" t="s">
        <v>230</v>
      </c>
      <c r="B1" s="19"/>
      <c r="C1" s="19"/>
      <c r="D1" s="19"/>
    </row>
    <row r="3" spans="1:4" x14ac:dyDescent="0.3">
      <c r="A3" s="1" t="s">
        <v>231</v>
      </c>
      <c r="B3" s="1" t="s">
        <v>232</v>
      </c>
      <c r="C3" s="1" t="s">
        <v>233</v>
      </c>
      <c r="D3" s="1" t="s">
        <v>234</v>
      </c>
    </row>
    <row r="4" spans="1:4" x14ac:dyDescent="0.3">
      <c r="A4" s="2" t="s">
        <v>235</v>
      </c>
      <c r="B4" s="3">
        <v>18</v>
      </c>
      <c r="C4" s="3">
        <v>0</v>
      </c>
      <c r="D4" s="3">
        <v>18</v>
      </c>
    </row>
    <row r="5" spans="1:4" x14ac:dyDescent="0.3">
      <c r="A5" s="2" t="s">
        <v>236</v>
      </c>
      <c r="B5" s="3">
        <v>2</v>
      </c>
      <c r="C5" s="3">
        <v>0</v>
      </c>
      <c r="D5" s="3">
        <v>2</v>
      </c>
    </row>
    <row r="6" spans="1:4" x14ac:dyDescent="0.3">
      <c r="A6" s="2" t="s">
        <v>237</v>
      </c>
      <c r="B6" s="3">
        <v>8</v>
      </c>
      <c r="C6" s="3">
        <v>0</v>
      </c>
      <c r="D6" s="3">
        <v>8</v>
      </c>
    </row>
    <row r="7" spans="1:4" x14ac:dyDescent="0.3">
      <c r="A7" s="2" t="s">
        <v>238</v>
      </c>
      <c r="B7" s="3">
        <v>16</v>
      </c>
      <c r="C7" s="3">
        <v>0</v>
      </c>
      <c r="D7" s="3">
        <v>16</v>
      </c>
    </row>
    <row r="8" spans="1:4" x14ac:dyDescent="0.3">
      <c r="A8" s="2" t="s">
        <v>239</v>
      </c>
      <c r="B8" s="3">
        <v>3</v>
      </c>
      <c r="C8" s="3">
        <v>0</v>
      </c>
      <c r="D8" s="3">
        <v>3</v>
      </c>
    </row>
    <row r="9" spans="1:4" x14ac:dyDescent="0.3">
      <c r="A9" s="2" t="s">
        <v>240</v>
      </c>
      <c r="B9" s="3">
        <v>3</v>
      </c>
      <c r="C9" s="3">
        <v>0</v>
      </c>
      <c r="D9" s="3">
        <v>3</v>
      </c>
    </row>
    <row r="10" spans="1:4" x14ac:dyDescent="0.3">
      <c r="A10" s="2" t="s">
        <v>241</v>
      </c>
      <c r="B10" s="3">
        <v>3</v>
      </c>
      <c r="C10" s="3">
        <v>0</v>
      </c>
      <c r="D10" s="3">
        <v>3</v>
      </c>
    </row>
    <row r="11" spans="1:4" x14ac:dyDescent="0.3">
      <c r="A11" s="2" t="s">
        <v>242</v>
      </c>
      <c r="B11" s="3">
        <v>5</v>
      </c>
      <c r="C11" s="3">
        <v>9</v>
      </c>
      <c r="D11" s="3">
        <v>14</v>
      </c>
    </row>
    <row r="12" spans="1:4" x14ac:dyDescent="0.3">
      <c r="A12" s="2" t="s">
        <v>243</v>
      </c>
      <c r="B12" s="3">
        <v>9</v>
      </c>
      <c r="C12" s="3">
        <v>0</v>
      </c>
      <c r="D12" s="3">
        <v>9</v>
      </c>
    </row>
    <row r="13" spans="1:4" x14ac:dyDescent="0.3">
      <c r="A13" s="2" t="s">
        <v>244</v>
      </c>
      <c r="B13" s="3">
        <v>2</v>
      </c>
      <c r="C13" s="3">
        <v>26</v>
      </c>
      <c r="D13" s="3">
        <v>28</v>
      </c>
    </row>
    <row r="14" spans="1:4" x14ac:dyDescent="0.3">
      <c r="A14" s="2" t="s">
        <v>245</v>
      </c>
      <c r="B14" s="3">
        <v>0</v>
      </c>
      <c r="C14" s="3">
        <v>50</v>
      </c>
      <c r="D14" s="3">
        <v>50</v>
      </c>
    </row>
    <row r="15" spans="1:4" x14ac:dyDescent="0.3">
      <c r="A15" s="2" t="s">
        <v>246</v>
      </c>
      <c r="B15" s="3">
        <v>6</v>
      </c>
      <c r="C15" s="3">
        <v>0</v>
      </c>
      <c r="D15" s="3">
        <v>6</v>
      </c>
    </row>
    <row r="16" spans="1:4" x14ac:dyDescent="0.3">
      <c r="A16" s="2" t="s">
        <v>247</v>
      </c>
      <c r="B16" s="3">
        <v>0</v>
      </c>
      <c r="C16" s="3">
        <v>14</v>
      </c>
      <c r="D16" s="3">
        <v>14</v>
      </c>
    </row>
    <row r="17" spans="1:4" x14ac:dyDescent="0.3">
      <c r="A17" s="2" t="s">
        <v>248</v>
      </c>
      <c r="B17" s="3">
        <v>0</v>
      </c>
      <c r="C17" s="3">
        <v>26</v>
      </c>
      <c r="D17" s="3">
        <v>26</v>
      </c>
    </row>
    <row r="18" spans="1:4" x14ac:dyDescent="0.3">
      <c r="A18" s="6" t="s">
        <v>223</v>
      </c>
      <c r="B18" s="7">
        <v>75</v>
      </c>
      <c r="C18" s="7">
        <v>125</v>
      </c>
      <c r="D18" s="7">
        <v>200</v>
      </c>
    </row>
    <row r="20" spans="1:4" x14ac:dyDescent="0.3">
      <c r="A20" s="8" t="s">
        <v>249</v>
      </c>
    </row>
    <row r="21" spans="1:4" x14ac:dyDescent="0.3">
      <c r="A21" s="8" t="s">
        <v>250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sqref="A1:XFD1048576"/>
    </sheetView>
  </sheetViews>
  <sheetFormatPr defaultRowHeight="14.4" x14ac:dyDescent="0.3"/>
  <cols>
    <col min="1" max="1" width="38" customWidth="1"/>
    <col min="2" max="8" width="6" customWidth="1"/>
    <col min="9" max="9" width="28" customWidth="1"/>
  </cols>
  <sheetData>
    <row r="1" spans="1:9" ht="18" x14ac:dyDescent="0.35">
      <c r="A1" s="13" t="s">
        <v>251</v>
      </c>
      <c r="B1" s="14"/>
      <c r="C1" s="14"/>
      <c r="D1" s="14"/>
      <c r="E1" s="14"/>
      <c r="F1" s="14"/>
      <c r="G1" s="14"/>
      <c r="H1" s="14"/>
      <c r="I1" s="14"/>
    </row>
    <row r="3" spans="1:9" x14ac:dyDescent="0.3">
      <c r="A3" s="1" t="s">
        <v>252</v>
      </c>
      <c r="B3" s="1" t="s">
        <v>15</v>
      </c>
      <c r="C3" s="1" t="s">
        <v>29</v>
      </c>
      <c r="D3" s="1" t="s">
        <v>53</v>
      </c>
      <c r="E3" s="1" t="s">
        <v>93</v>
      </c>
      <c r="F3" s="1" t="s">
        <v>155</v>
      </c>
      <c r="G3" s="1" t="s">
        <v>189</v>
      </c>
      <c r="H3" s="1" t="s">
        <v>206</v>
      </c>
      <c r="I3" s="1" t="s">
        <v>253</v>
      </c>
    </row>
    <row r="4" spans="1:9" x14ac:dyDescent="0.3">
      <c r="A4" s="2" t="s">
        <v>254</v>
      </c>
      <c r="B4" s="9" t="s">
        <v>255</v>
      </c>
      <c r="C4" s="10"/>
      <c r="D4" s="10"/>
      <c r="E4" s="10"/>
      <c r="F4" s="10"/>
      <c r="G4" s="10"/>
      <c r="H4" s="10"/>
      <c r="I4" s="2" t="s">
        <v>13</v>
      </c>
    </row>
    <row r="5" spans="1:9" x14ac:dyDescent="0.3">
      <c r="A5" s="2" t="s">
        <v>256</v>
      </c>
      <c r="B5" s="10"/>
      <c r="C5" s="9" t="s">
        <v>255</v>
      </c>
      <c r="D5" s="10"/>
      <c r="E5" s="10"/>
      <c r="F5" s="10"/>
      <c r="G5" s="10"/>
      <c r="H5" s="10"/>
      <c r="I5" s="2" t="s">
        <v>28</v>
      </c>
    </row>
    <row r="6" spans="1:9" x14ac:dyDescent="0.3">
      <c r="A6" s="2" t="s">
        <v>257</v>
      </c>
      <c r="B6" s="10"/>
      <c r="C6" s="9" t="s">
        <v>255</v>
      </c>
      <c r="D6" s="10"/>
      <c r="E6" s="10"/>
      <c r="F6" s="10"/>
      <c r="G6" s="10"/>
      <c r="H6" s="10"/>
      <c r="I6" s="2" t="s">
        <v>28</v>
      </c>
    </row>
    <row r="7" spans="1:9" x14ac:dyDescent="0.3">
      <c r="A7" s="2" t="s">
        <v>258</v>
      </c>
      <c r="B7" s="10"/>
      <c r="C7" s="9" t="s">
        <v>255</v>
      </c>
      <c r="D7" s="9" t="s">
        <v>255</v>
      </c>
      <c r="E7" s="10"/>
      <c r="F7" s="10"/>
      <c r="G7" s="10"/>
      <c r="H7" s="10"/>
      <c r="I7" s="2" t="s">
        <v>28</v>
      </c>
    </row>
    <row r="8" spans="1:9" x14ac:dyDescent="0.3">
      <c r="A8" s="2" t="s">
        <v>259</v>
      </c>
      <c r="B8" s="10"/>
      <c r="C8" s="10"/>
      <c r="D8" s="9" t="s">
        <v>255</v>
      </c>
      <c r="E8" s="10"/>
      <c r="F8" s="10"/>
      <c r="G8" s="10"/>
      <c r="H8" s="10"/>
      <c r="I8" s="2" t="s">
        <v>260</v>
      </c>
    </row>
    <row r="9" spans="1:9" x14ac:dyDescent="0.3">
      <c r="A9" s="2" t="s">
        <v>261</v>
      </c>
      <c r="B9" s="10"/>
      <c r="C9" s="9" t="s">
        <v>255</v>
      </c>
      <c r="D9" s="9" t="s">
        <v>255</v>
      </c>
      <c r="E9" s="10"/>
      <c r="F9" s="10"/>
      <c r="G9" s="10"/>
      <c r="H9" s="10"/>
      <c r="I9" s="2" t="s">
        <v>28</v>
      </c>
    </row>
    <row r="10" spans="1:9" x14ac:dyDescent="0.3">
      <c r="A10" s="2" t="s">
        <v>262</v>
      </c>
      <c r="B10" s="10"/>
      <c r="C10" s="10"/>
      <c r="D10" s="9" t="s">
        <v>255</v>
      </c>
      <c r="E10" s="10"/>
      <c r="F10" s="10"/>
      <c r="G10" s="10"/>
      <c r="H10" s="10"/>
      <c r="I10" s="2" t="s">
        <v>28</v>
      </c>
    </row>
    <row r="11" spans="1:9" x14ac:dyDescent="0.3">
      <c r="A11" s="2" t="s">
        <v>263</v>
      </c>
      <c r="B11" s="10"/>
      <c r="C11" s="10"/>
      <c r="D11" s="9" t="s">
        <v>255</v>
      </c>
      <c r="E11" s="9" t="s">
        <v>255</v>
      </c>
      <c r="F11" s="10"/>
      <c r="G11" s="10"/>
      <c r="H11" s="10"/>
      <c r="I11" s="2" t="s">
        <v>28</v>
      </c>
    </row>
    <row r="12" spans="1:9" x14ac:dyDescent="0.3">
      <c r="A12" s="2" t="s">
        <v>264</v>
      </c>
      <c r="B12" s="10"/>
      <c r="C12" s="10"/>
      <c r="D12" s="9" t="s">
        <v>255</v>
      </c>
      <c r="E12" s="10"/>
      <c r="F12" s="10"/>
      <c r="G12" s="10"/>
      <c r="H12" s="10"/>
      <c r="I12" s="2" t="s">
        <v>28</v>
      </c>
    </row>
    <row r="13" spans="1:9" x14ac:dyDescent="0.3">
      <c r="A13" s="2" t="s">
        <v>265</v>
      </c>
      <c r="B13" s="10"/>
      <c r="C13" s="9" t="s">
        <v>255</v>
      </c>
      <c r="D13" s="9" t="s">
        <v>255</v>
      </c>
      <c r="E13" s="9" t="s">
        <v>255</v>
      </c>
      <c r="F13" s="9" t="s">
        <v>255</v>
      </c>
      <c r="G13" s="10"/>
      <c r="H13" s="10"/>
      <c r="I13" s="2" t="s">
        <v>91</v>
      </c>
    </row>
    <row r="14" spans="1:9" x14ac:dyDescent="0.3">
      <c r="A14" s="2" t="s">
        <v>266</v>
      </c>
      <c r="B14" s="10"/>
      <c r="C14" s="10"/>
      <c r="D14" s="9" t="s">
        <v>255</v>
      </c>
      <c r="E14" s="9" t="s">
        <v>255</v>
      </c>
      <c r="F14" s="9" t="s">
        <v>255</v>
      </c>
      <c r="G14" s="10"/>
      <c r="H14" s="10"/>
      <c r="I14" s="2" t="s">
        <v>91</v>
      </c>
    </row>
    <row r="15" spans="1:9" x14ac:dyDescent="0.3">
      <c r="A15" s="2" t="s">
        <v>267</v>
      </c>
      <c r="B15" s="10"/>
      <c r="C15" s="10"/>
      <c r="D15" s="10"/>
      <c r="E15" s="9" t="s">
        <v>255</v>
      </c>
      <c r="F15" s="10"/>
      <c r="G15" s="10"/>
      <c r="H15" s="10"/>
      <c r="I15" s="2" t="s">
        <v>91</v>
      </c>
    </row>
    <row r="16" spans="1:9" x14ac:dyDescent="0.3">
      <c r="A16" s="2" t="s">
        <v>268</v>
      </c>
      <c r="B16" s="10"/>
      <c r="C16" s="10"/>
      <c r="D16" s="10"/>
      <c r="E16" s="9" t="s">
        <v>255</v>
      </c>
      <c r="F16" s="9" t="s">
        <v>255</v>
      </c>
      <c r="G16" s="10"/>
      <c r="H16" s="10"/>
      <c r="I16" s="2" t="s">
        <v>28</v>
      </c>
    </row>
    <row r="17" spans="1:9" x14ac:dyDescent="0.3">
      <c r="A17" s="2" t="s">
        <v>269</v>
      </c>
      <c r="B17" s="10"/>
      <c r="C17" s="10"/>
      <c r="D17" s="10"/>
      <c r="E17" s="10"/>
      <c r="F17" s="9" t="s">
        <v>255</v>
      </c>
      <c r="G17" s="9" t="s">
        <v>255</v>
      </c>
      <c r="H17" s="10"/>
      <c r="I17" s="2" t="s">
        <v>270</v>
      </c>
    </row>
    <row r="18" spans="1:9" x14ac:dyDescent="0.3">
      <c r="A18" s="2" t="s">
        <v>271</v>
      </c>
      <c r="B18" s="10"/>
      <c r="C18" s="10"/>
      <c r="D18" s="10"/>
      <c r="E18" s="10"/>
      <c r="F18" s="10"/>
      <c r="G18" s="9" t="s">
        <v>255</v>
      </c>
      <c r="H18" s="9" t="s">
        <v>255</v>
      </c>
      <c r="I18" s="2" t="s">
        <v>193</v>
      </c>
    </row>
    <row r="19" spans="1:9" x14ac:dyDescent="0.3">
      <c r="A19" s="2" t="s">
        <v>272</v>
      </c>
      <c r="B19" s="10"/>
      <c r="C19" s="10"/>
      <c r="D19" s="10"/>
      <c r="E19" s="10"/>
      <c r="F19" s="10"/>
      <c r="G19" s="10"/>
      <c r="H19" s="9" t="s">
        <v>255</v>
      </c>
      <c r="I19" s="2" t="s">
        <v>13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Cronograma por Atividade</vt:lpstr>
      <vt:lpstr>Resumo por Perfil</vt:lpstr>
      <vt:lpstr>Resumo por Recurso Azure</vt:lpstr>
      <vt:lpstr>Timeline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Lisboa de lyra</cp:lastModifiedBy>
  <dcterms:created xsi:type="dcterms:W3CDTF">2026-05-20T18:40:04Z</dcterms:created>
  <dcterms:modified xsi:type="dcterms:W3CDTF">2026-05-20T19:01:32Z</dcterms:modified>
</cp:coreProperties>
</file>