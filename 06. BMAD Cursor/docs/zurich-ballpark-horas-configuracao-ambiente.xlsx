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01. Foursys\06. BMAD Cursor\docs\"/>
    </mc:Choice>
  </mc:AlternateContent>
  <bookViews>
    <workbookView xWindow="0" yWindow="0" windowWidth="17256" windowHeight="5772"/>
  </bookViews>
  <sheets>
    <sheet name="Resumo" sheetId="1" r:id="rId1"/>
    <sheet name="Detalhamento" sheetId="2" r:id="rId2"/>
    <sheet name="Premissas" sheetId="3" r:id="rId3"/>
  </sheets>
  <calcPr calcId="162913"/>
</workbook>
</file>

<file path=xl/calcChain.xml><?xml version="1.0" encoding="utf-8"?>
<calcChain xmlns="http://schemas.openxmlformats.org/spreadsheetml/2006/main">
  <c r="C4" i="1" l="1"/>
  <c r="B4" i="1"/>
</calcChain>
</file>

<file path=xl/sharedStrings.xml><?xml version="1.0" encoding="utf-8"?>
<sst xmlns="http://schemas.openxmlformats.org/spreadsheetml/2006/main" count="102" uniqueCount="71">
  <si>
    <t>Profissional</t>
  </si>
  <si>
    <t>Horas Min</t>
  </si>
  <si>
    <t>Horas Max</t>
  </si>
  <si>
    <t>Observacoes</t>
  </si>
  <si>
    <t>Arquitetura, topologia, seguranca, observabilidade e handoff.</t>
  </si>
  <si>
    <t>Infra Azure, AKS, Grid, agentes self-hosted, pipelines e monitoracao.</t>
  </si>
  <si>
    <t>TOTAL</t>
  </si>
  <si>
    <t>Nao inclui desenvolvimento de cenarios, sustentacao recorrente ou performance.</t>
  </si>
  <si>
    <t>Atividade</t>
  </si>
  <si>
    <t>Alinhamento e captura de restricoes</t>
  </si>
  <si>
    <t>Workshops, requisitos nao funcionais e restricoes corporativas.</t>
  </si>
  <si>
    <t>Arquitetura da solucao</t>
  </si>
  <si>
    <t>Desenho logico e fisico da plataforma.</t>
  </si>
  <si>
    <t>Desenho de rede</t>
  </si>
  <si>
    <t>Topologia, fluxos, subnets e conectividade.</t>
  </si>
  <si>
    <t>Private Endpoints e DNS privado</t>
  </si>
  <si>
    <t>Mapeamento de exposicao privada e resolucao.</t>
  </si>
  <si>
    <t>Seguranca, RBAC e segredos</t>
  </si>
  <si>
    <t>Modelo de acesso, identidades e uso do Key Vault.</t>
  </si>
  <si>
    <t>Baseline de AKS</t>
  </si>
  <si>
    <t>Definicao inicial de cluster, pools e limites.</t>
  </si>
  <si>
    <t>Topologia do Selenium Grid</t>
  </si>
  <si>
    <t>Hub, nodes e padrao de execucao.</t>
  </si>
  <si>
    <t>Observabilidade e alertas</t>
  </si>
  <si>
    <t>Regras, metricas e eventos criticos.</t>
  </si>
  <si>
    <t>ACR e Storage</t>
  </si>
  <si>
    <t>Padrao de imagens, artefatos e retencao.</t>
  </si>
  <si>
    <t>Arquitetura da esteira Azure DevOps</t>
  </si>
  <si>
    <t>Stages, gates e contrato tecnico da pipeline.</t>
  </si>
  <si>
    <t>Documentacao e handoff</t>
  </si>
  <si>
    <t>Pacote de implementacao e orientacoes.</t>
  </si>
  <si>
    <t>Revisoes e feedback</t>
  </si>
  <si>
    <t>Ajustes internos e com o cliente.</t>
  </si>
  <si>
    <t>Alinhamento tecnico inicial</t>
  </si>
  <si>
    <t>Fechamento de premissas e desenho implementavel.</t>
  </si>
  <si>
    <t>VNet, subnets, NSG e rotas</t>
  </si>
  <si>
    <t>Segmentacao e controle de trafego.</t>
  </si>
  <si>
    <t>Conectividade privada para servicos PaaS.</t>
  </si>
  <si>
    <t>Configuracao do AKS</t>
  </si>
  <si>
    <t>Cluster, node pools e integracoes basicas.</t>
  </si>
  <si>
    <t>ACR e acesso do AKS</t>
  </si>
  <si>
    <t>Registry e pull de imagens.</t>
  </si>
  <si>
    <t>Deploy do Selenium Grid</t>
  </si>
  <si>
    <t>Hub, nodes e configuracao operacional.</t>
  </si>
  <si>
    <t>Ingress ou ILB + TLS</t>
  </si>
  <si>
    <t>Exposicao controlada do Grid.</t>
  </si>
  <si>
    <t>Key Vault e identidades</t>
  </si>
  <si>
    <t>Segredos, acessos e autenticacao.</t>
  </si>
  <si>
    <t>Self-hosted Agent Pool</t>
  </si>
  <si>
    <t>Provisionamento e configuracao dos runners.</t>
  </si>
  <si>
    <t>Pipelines Azure DevOps</t>
  </si>
  <si>
    <t>Build, deploy e validacao tecnica do wiring.</t>
  </si>
  <si>
    <t>Storage e artefatos</t>
  </si>
  <si>
    <t>Persistencia e publicacao de evidencias.</t>
  </si>
  <si>
    <t>Monitor e Log Analytics</t>
  </si>
  <si>
    <t>Logs, metricas e diagnosticos.</t>
  </si>
  <si>
    <t>Alertas e Action Groups</t>
  </si>
  <si>
    <t>Regras operacionais e notificacoes.</t>
  </si>
  <si>
    <t>RBAC + documentacao tecnica</t>
  </si>
  <si>
    <t>Permissoes, runbook e operacao inicial.</t>
  </si>
  <si>
    <t>Homologacao tecnica e handoff</t>
  </si>
  <si>
    <t>Checklist tecnico e entrega do ambiente.</t>
  </si>
  <si>
    <t>Premissas do BallPark</t>
  </si>
  <si>
    <t>Escopo: configuracao do ambiente e da esteira tecnica para Selenium Grid no Azure.</t>
  </si>
  <si>
    <t>Inclui: arquitetura, infraestrutura, pipeline, AKS, Grid, seguranca basica, observabilidade e validacao tecnica.</t>
  </si>
  <si>
    <t>Nao inclui: desenvolvimento de cenarios automatizados, sustentacao recorrente, performance com JMeter e atrasos de compliance.</t>
  </si>
  <si>
    <t>Valores em horas ballpark por profissional e atividade, para uso em proposta inicial.</t>
  </si>
  <si>
    <t xml:space="preserve">Arquiteto </t>
  </si>
  <si>
    <t xml:space="preserve">DevOps / SRE </t>
  </si>
  <si>
    <t>Total de Horas</t>
  </si>
  <si>
    <t>Arquiteto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</si>
</sst>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name val="Calibri"/>
    </font>
    <font>
      <b/>
      <sz val="11"/>
      <color theme="0"/>
      <name val="Segoe UI"/>
      <family val="2"/>
    </font>
    <font>
      <sz val="11"/>
      <name val="Segoe UI"/>
      <family val="2"/>
    </font>
    <font>
      <b/>
      <sz val="11"/>
      <name val="Segoe UI"/>
      <family val="2"/>
    </font>
  </fonts>
  <fills count="3">
    <fill>
      <patternFill patternType="none"/>
    </fill>
    <fill>
      <patternFill patternType="gray125"/>
    </fill>
    <fill>
      <patternFill patternType="gray125">
        <bgColor rgb="FF00206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0" xfId="0" applyFont="1" applyFill="1"/>
    <xf numFmtId="0" fontId="2" fillId="0" borderId="0" xfId="0" applyFont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D16" sqref="D16"/>
    </sheetView>
  </sheetViews>
  <sheetFormatPr defaultRowHeight="14.4"/>
  <cols>
    <col min="1" max="1" width="28.109375" bestFit="1" customWidth="1"/>
    <col min="2" max="2" width="10.77734375" bestFit="1" customWidth="1"/>
    <col min="3" max="3" width="11.21875" hidden="1" customWidth="1"/>
    <col min="4" max="4" width="73.5546875" bestFit="1" customWidth="1"/>
  </cols>
  <sheetData>
    <row r="1" spans="1:4" ht="16.8">
      <c r="A1" s="6" t="s">
        <v>0</v>
      </c>
      <c r="B1" s="6" t="s">
        <v>1</v>
      </c>
      <c r="C1" s="6" t="s">
        <v>2</v>
      </c>
      <c r="D1" s="6" t="s">
        <v>3</v>
      </c>
    </row>
    <row r="2" spans="1:4" ht="16.8">
      <c r="A2" s="10" t="s">
        <v>70</v>
      </c>
      <c r="B2" s="3">
        <v>128</v>
      </c>
      <c r="C2" s="3">
        <v>180</v>
      </c>
      <c r="D2" s="2" t="s">
        <v>4</v>
      </c>
    </row>
    <row r="3" spans="1:4" ht="16.8">
      <c r="A3" s="10" t="s">
        <v>68</v>
      </c>
      <c r="B3" s="3">
        <v>202</v>
      </c>
      <c r="C3" s="3">
        <v>298</v>
      </c>
      <c r="D3" s="2" t="s">
        <v>5</v>
      </c>
    </row>
    <row r="4" spans="1:4" ht="16.8">
      <c r="A4" s="4" t="s">
        <v>6</v>
      </c>
      <c r="B4" s="5">
        <f>SUM(B2:B3)</f>
        <v>330</v>
      </c>
      <c r="C4" s="5">
        <f>SUM(C2:C3)</f>
        <v>478</v>
      </c>
      <c r="D4" s="2" t="s">
        <v>7</v>
      </c>
    </row>
    <row r="5" spans="1:4" ht="16.8">
      <c r="A5" s="9"/>
      <c r="B5" s="9"/>
      <c r="C5" s="9"/>
      <c r="D5" s="9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opLeftCell="A13" workbookViewId="0">
      <selection activeCell="D1" sqref="D1:D1048576"/>
    </sheetView>
  </sheetViews>
  <sheetFormatPr defaultRowHeight="14.4"/>
  <cols>
    <col min="1" max="1" width="14" bestFit="1" customWidth="1"/>
    <col min="2" max="2" width="37.44140625" customWidth="1"/>
    <col min="3" max="3" width="14.109375" style="1" customWidth="1"/>
    <col min="4" max="4" width="11.21875" style="1" hidden="1" customWidth="1"/>
    <col min="5" max="5" width="57.5546875" bestFit="1" customWidth="1"/>
  </cols>
  <sheetData>
    <row r="1" spans="1:5" ht="16.8">
      <c r="A1" s="6" t="s">
        <v>0</v>
      </c>
      <c r="B1" s="6" t="s">
        <v>8</v>
      </c>
      <c r="C1" s="7" t="s">
        <v>1</v>
      </c>
      <c r="D1" s="7" t="s">
        <v>2</v>
      </c>
      <c r="E1" s="6" t="s">
        <v>3</v>
      </c>
    </row>
    <row r="2" spans="1:5" ht="16.8">
      <c r="A2" s="2" t="s">
        <v>67</v>
      </c>
      <c r="B2" s="2" t="s">
        <v>9</v>
      </c>
      <c r="C2" s="3">
        <v>12</v>
      </c>
      <c r="D2" s="3">
        <v>16</v>
      </c>
      <c r="E2" s="2" t="s">
        <v>10</v>
      </c>
    </row>
    <row r="3" spans="1:5" ht="16.8">
      <c r="A3" s="2" t="s">
        <v>67</v>
      </c>
      <c r="B3" s="2" t="s">
        <v>11</v>
      </c>
      <c r="C3" s="3">
        <v>16</v>
      </c>
      <c r="D3" s="3">
        <v>20</v>
      </c>
      <c r="E3" s="2" t="s">
        <v>12</v>
      </c>
    </row>
    <row r="4" spans="1:5" ht="16.8">
      <c r="A4" s="2" t="s">
        <v>67</v>
      </c>
      <c r="B4" s="2" t="s">
        <v>13</v>
      </c>
      <c r="C4" s="3">
        <v>14</v>
      </c>
      <c r="D4" s="3">
        <v>18</v>
      </c>
      <c r="E4" s="2" t="s">
        <v>14</v>
      </c>
    </row>
    <row r="5" spans="1:5" ht="16.8">
      <c r="A5" s="2" t="s">
        <v>67</v>
      </c>
      <c r="B5" s="2" t="s">
        <v>15</v>
      </c>
      <c r="C5" s="3">
        <v>10</v>
      </c>
      <c r="D5" s="3">
        <v>14</v>
      </c>
      <c r="E5" s="2" t="s">
        <v>16</v>
      </c>
    </row>
    <row r="6" spans="1:5" ht="16.8">
      <c r="A6" s="2" t="s">
        <v>67</v>
      </c>
      <c r="B6" s="2" t="s">
        <v>17</v>
      </c>
      <c r="C6" s="3">
        <v>12</v>
      </c>
      <c r="D6" s="3">
        <v>16</v>
      </c>
      <c r="E6" s="2" t="s">
        <v>18</v>
      </c>
    </row>
    <row r="7" spans="1:5" ht="16.8">
      <c r="A7" s="2" t="s">
        <v>67</v>
      </c>
      <c r="B7" s="2" t="s">
        <v>19</v>
      </c>
      <c r="C7" s="3">
        <v>12</v>
      </c>
      <c r="D7" s="3">
        <v>16</v>
      </c>
      <c r="E7" s="2" t="s">
        <v>20</v>
      </c>
    </row>
    <row r="8" spans="1:5" ht="16.8">
      <c r="A8" s="2" t="s">
        <v>67</v>
      </c>
      <c r="B8" s="2" t="s">
        <v>21</v>
      </c>
      <c r="C8" s="3">
        <v>10</v>
      </c>
      <c r="D8" s="3">
        <v>14</v>
      </c>
      <c r="E8" s="2" t="s">
        <v>22</v>
      </c>
    </row>
    <row r="9" spans="1:5" ht="16.8">
      <c r="A9" s="2" t="s">
        <v>67</v>
      </c>
      <c r="B9" s="2" t="s">
        <v>23</v>
      </c>
      <c r="C9" s="3">
        <v>8</v>
      </c>
      <c r="D9" s="3">
        <v>12</v>
      </c>
      <c r="E9" s="2" t="s">
        <v>24</v>
      </c>
    </row>
    <row r="10" spans="1:5" ht="16.8">
      <c r="A10" s="2" t="s">
        <v>67</v>
      </c>
      <c r="B10" s="2" t="s">
        <v>25</v>
      </c>
      <c r="C10" s="3">
        <v>6</v>
      </c>
      <c r="D10" s="3">
        <v>8</v>
      </c>
      <c r="E10" s="2" t="s">
        <v>26</v>
      </c>
    </row>
    <row r="11" spans="1:5" ht="16.8">
      <c r="A11" s="2" t="s">
        <v>67</v>
      </c>
      <c r="B11" s="2" t="s">
        <v>27</v>
      </c>
      <c r="C11" s="3">
        <v>10</v>
      </c>
      <c r="D11" s="3">
        <v>14</v>
      </c>
      <c r="E11" s="2" t="s">
        <v>28</v>
      </c>
    </row>
    <row r="12" spans="1:5" ht="16.8">
      <c r="A12" s="2" t="s">
        <v>67</v>
      </c>
      <c r="B12" s="2" t="s">
        <v>29</v>
      </c>
      <c r="C12" s="3">
        <v>10</v>
      </c>
      <c r="D12" s="3">
        <v>14</v>
      </c>
      <c r="E12" s="2" t="s">
        <v>30</v>
      </c>
    </row>
    <row r="13" spans="1:5" ht="16.8">
      <c r="A13" s="2" t="s">
        <v>67</v>
      </c>
      <c r="B13" s="2" t="s">
        <v>31</v>
      </c>
      <c r="C13" s="3">
        <v>8</v>
      </c>
      <c r="D13" s="3">
        <v>18</v>
      </c>
      <c r="E13" s="2" t="s">
        <v>32</v>
      </c>
    </row>
    <row r="14" spans="1:5" ht="16.8">
      <c r="A14" s="2" t="s">
        <v>68</v>
      </c>
      <c r="B14" s="2" t="s">
        <v>33</v>
      </c>
      <c r="C14" s="3">
        <v>12</v>
      </c>
      <c r="D14" s="3">
        <v>16</v>
      </c>
      <c r="E14" s="2" t="s">
        <v>34</v>
      </c>
    </row>
    <row r="15" spans="1:5" ht="16.8">
      <c r="A15" s="2" t="s">
        <v>68</v>
      </c>
      <c r="B15" s="2" t="s">
        <v>35</v>
      </c>
      <c r="C15" s="3">
        <v>16</v>
      </c>
      <c r="D15" s="3">
        <v>28</v>
      </c>
      <c r="E15" s="2" t="s">
        <v>36</v>
      </c>
    </row>
    <row r="16" spans="1:5" ht="16.8">
      <c r="A16" s="2" t="s">
        <v>68</v>
      </c>
      <c r="B16" s="2" t="s">
        <v>15</v>
      </c>
      <c r="C16" s="3">
        <v>16</v>
      </c>
      <c r="D16" s="3">
        <v>24</v>
      </c>
      <c r="E16" s="2" t="s">
        <v>37</v>
      </c>
    </row>
    <row r="17" spans="1:5" ht="16.8">
      <c r="A17" s="2" t="s">
        <v>68</v>
      </c>
      <c r="B17" s="2" t="s">
        <v>38</v>
      </c>
      <c r="C17" s="3">
        <v>18</v>
      </c>
      <c r="D17" s="3">
        <v>24</v>
      </c>
      <c r="E17" s="2" t="s">
        <v>39</v>
      </c>
    </row>
    <row r="18" spans="1:5" ht="16.8">
      <c r="A18" s="2" t="s">
        <v>68</v>
      </c>
      <c r="B18" s="2" t="s">
        <v>40</v>
      </c>
      <c r="C18" s="3">
        <v>6</v>
      </c>
      <c r="D18" s="3">
        <v>10</v>
      </c>
      <c r="E18" s="2" t="s">
        <v>41</v>
      </c>
    </row>
    <row r="19" spans="1:5" ht="16.8">
      <c r="A19" s="2" t="s">
        <v>68</v>
      </c>
      <c r="B19" s="2" t="s">
        <v>42</v>
      </c>
      <c r="C19" s="3">
        <v>24</v>
      </c>
      <c r="D19" s="3">
        <v>32</v>
      </c>
      <c r="E19" s="2" t="s">
        <v>43</v>
      </c>
    </row>
    <row r="20" spans="1:5" ht="16.8">
      <c r="A20" s="2" t="s">
        <v>68</v>
      </c>
      <c r="B20" s="2" t="s">
        <v>44</v>
      </c>
      <c r="C20" s="3">
        <v>14</v>
      </c>
      <c r="D20" s="3">
        <v>22</v>
      </c>
      <c r="E20" s="2" t="s">
        <v>45</v>
      </c>
    </row>
    <row r="21" spans="1:5" ht="16.8">
      <c r="A21" s="2" t="s">
        <v>68</v>
      </c>
      <c r="B21" s="2" t="s">
        <v>46</v>
      </c>
      <c r="C21" s="3">
        <v>10</v>
      </c>
      <c r="D21" s="3">
        <v>14</v>
      </c>
      <c r="E21" s="2" t="s">
        <v>47</v>
      </c>
    </row>
    <row r="22" spans="1:5" ht="16.8">
      <c r="A22" s="2" t="s">
        <v>68</v>
      </c>
      <c r="B22" s="2" t="s">
        <v>48</v>
      </c>
      <c r="C22" s="3">
        <v>16</v>
      </c>
      <c r="D22" s="3">
        <v>24</v>
      </c>
      <c r="E22" s="2" t="s">
        <v>49</v>
      </c>
    </row>
    <row r="23" spans="1:5" ht="16.8">
      <c r="A23" s="2" t="s">
        <v>68</v>
      </c>
      <c r="B23" s="2" t="s">
        <v>50</v>
      </c>
      <c r="C23" s="3">
        <v>18</v>
      </c>
      <c r="D23" s="3">
        <v>26</v>
      </c>
      <c r="E23" s="2" t="s">
        <v>51</v>
      </c>
    </row>
    <row r="24" spans="1:5" ht="16.8">
      <c r="A24" s="2" t="s">
        <v>68</v>
      </c>
      <c r="B24" s="2" t="s">
        <v>52</v>
      </c>
      <c r="C24" s="3">
        <v>4</v>
      </c>
      <c r="D24" s="3">
        <v>8</v>
      </c>
      <c r="E24" s="2" t="s">
        <v>53</v>
      </c>
    </row>
    <row r="25" spans="1:5" ht="16.8">
      <c r="A25" s="2" t="s">
        <v>68</v>
      </c>
      <c r="B25" s="2" t="s">
        <v>54</v>
      </c>
      <c r="C25" s="3">
        <v>12</v>
      </c>
      <c r="D25" s="3">
        <v>18</v>
      </c>
      <c r="E25" s="2" t="s">
        <v>55</v>
      </c>
    </row>
    <row r="26" spans="1:5" ht="16.8">
      <c r="A26" s="2" t="s">
        <v>68</v>
      </c>
      <c r="B26" s="2" t="s">
        <v>56</v>
      </c>
      <c r="C26" s="3">
        <v>8</v>
      </c>
      <c r="D26" s="3">
        <v>12</v>
      </c>
      <c r="E26" s="2" t="s">
        <v>57</v>
      </c>
    </row>
    <row r="27" spans="1:5" ht="16.8">
      <c r="A27" s="2" t="s">
        <v>68</v>
      </c>
      <c r="B27" s="2" t="s">
        <v>58</v>
      </c>
      <c r="C27" s="3">
        <v>12</v>
      </c>
      <c r="D27" s="3">
        <v>16</v>
      </c>
      <c r="E27" s="2" t="s">
        <v>59</v>
      </c>
    </row>
    <row r="28" spans="1:5" ht="16.8">
      <c r="A28" s="2" t="s">
        <v>68</v>
      </c>
      <c r="B28" s="2" t="s">
        <v>60</v>
      </c>
      <c r="C28" s="3">
        <v>16</v>
      </c>
      <c r="D28" s="3">
        <v>24</v>
      </c>
      <c r="E28" s="2" t="s">
        <v>61</v>
      </c>
    </row>
    <row r="29" spans="1:5" ht="16.8">
      <c r="A29" s="2"/>
      <c r="B29" s="4" t="s">
        <v>69</v>
      </c>
      <c r="C29" s="5">
        <v>330</v>
      </c>
      <c r="D29" s="5">
        <v>478</v>
      </c>
      <c r="E29" s="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A29" sqref="A29"/>
    </sheetView>
  </sheetViews>
  <sheetFormatPr defaultRowHeight="14.4"/>
  <cols>
    <col min="1" max="1" width="119" bestFit="1" customWidth="1"/>
  </cols>
  <sheetData>
    <row r="1" spans="1:1" ht="16.8">
      <c r="A1" s="8" t="s">
        <v>62</v>
      </c>
    </row>
    <row r="2" spans="1:1" ht="16.8">
      <c r="A2" s="9" t="s">
        <v>63</v>
      </c>
    </row>
    <row r="3" spans="1:1" ht="16.8">
      <c r="A3" s="9" t="s">
        <v>64</v>
      </c>
    </row>
    <row r="4" spans="1:1" ht="16.8">
      <c r="A4" s="9" t="s">
        <v>65</v>
      </c>
    </row>
    <row r="5" spans="1:1" ht="16.8">
      <c r="A5" s="9" t="s">
        <v>66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Resumo</vt:lpstr>
      <vt:lpstr>Detalhamento</vt:lpstr>
      <vt:lpstr>Premissas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Zurich BallPark Horas</dc:title>
  <dc:creator>Cursor GPT-5.4</dc:creator>
  <cp:lastModifiedBy>Alessandro Lisboa de lyra</cp:lastModifiedBy>
  <dcterms:modified xsi:type="dcterms:W3CDTF">2026-03-31T00:22:17Z</dcterms:modified>
</cp:coreProperties>
</file>