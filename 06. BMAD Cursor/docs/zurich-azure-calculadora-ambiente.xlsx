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. Foursys\06. BMAD Cursor\docs\"/>
    </mc:Choice>
  </mc:AlternateContent>
  <bookViews>
    <workbookView xWindow="0" yWindow="0" windowWidth="23040" windowHeight="9192" activeTab="1"/>
  </bookViews>
  <sheets>
    <sheet name="Inputs" sheetId="1" r:id="rId1"/>
    <sheet name="Componentes" sheetId="2" r:id="rId2"/>
    <sheet name="Resumo" sheetId="3" r:id="rId3"/>
    <sheet name="Observacoes" sheetId="4" r:id="rId4"/>
  </sheets>
  <calcPr calcId="162913"/>
</workbook>
</file>

<file path=xl/calcChain.xml><?xml version="1.0" encoding="utf-8"?>
<calcChain xmlns="http://schemas.openxmlformats.org/spreadsheetml/2006/main">
  <c r="B3" i="3" l="1"/>
  <c r="C14" i="2"/>
  <c r="D14" i="2" s="1"/>
  <c r="C13" i="2"/>
  <c r="D13" i="2" s="1"/>
  <c r="C12" i="2"/>
  <c r="D12" i="2" s="1"/>
  <c r="C11" i="2"/>
  <c r="D11" i="2" s="1"/>
  <c r="C10" i="2"/>
  <c r="B10" i="2"/>
  <c r="D10" i="2" s="1"/>
  <c r="C9" i="2"/>
  <c r="B9" i="2"/>
  <c r="D9" i="2" s="1"/>
  <c r="C8" i="2"/>
  <c r="B8" i="2"/>
  <c r="D8" i="2" s="1"/>
  <c r="C7" i="2"/>
  <c r="D7" i="2" s="1"/>
  <c r="C6" i="2"/>
  <c r="D6" i="2" s="1"/>
  <c r="C5" i="2"/>
  <c r="B5" i="2"/>
  <c r="D5" i="2" s="1"/>
  <c r="C4" i="2"/>
  <c r="D4" i="2" s="1"/>
  <c r="D3" i="2"/>
  <c r="C3" i="2"/>
  <c r="B3" i="2"/>
  <c r="C2" i="2"/>
  <c r="B2" i="2"/>
  <c r="D2" i="2" s="1"/>
  <c r="D15" i="2" l="1"/>
  <c r="B2" i="3" s="1"/>
  <c r="B4" i="3" l="1"/>
  <c r="B5" i="3" s="1"/>
  <c r="B6" i="3" s="1"/>
</calcChain>
</file>

<file path=xl/sharedStrings.xml><?xml version="1.0" encoding="utf-8"?>
<sst xmlns="http://schemas.openxmlformats.org/spreadsheetml/2006/main" count="130" uniqueCount="100">
  <si>
    <t>Parametro</t>
  </si>
  <si>
    <t>Valor</t>
  </si>
  <si>
    <t>Unidade</t>
  </si>
  <si>
    <t>Observacoes</t>
  </si>
  <si>
    <t>Regiao Azure</t>
  </si>
  <si>
    <t>West Europe</t>
  </si>
  <si>
    <t>texto</t>
  </si>
  <si>
    <t>Ajustar conforme a regiao do cliente.</t>
  </si>
  <si>
    <t>Moeda</t>
  </si>
  <si>
    <t>USD</t>
  </si>
  <si>
    <t>Os unitarios abaixo estao em dolar de referencia.</t>
  </si>
  <si>
    <t>AKS System Nodes</t>
  </si>
  <si>
    <t>qtd</t>
  </si>
  <si>
    <t>Node pool base do cluster.</t>
  </si>
  <si>
    <t>AKS System Node Unitario</t>
  </si>
  <si>
    <t>USD/mes</t>
  </si>
  <si>
    <t>Referencia editavel.</t>
  </si>
  <si>
    <t>AKS Worker Nodes</t>
  </si>
  <si>
    <t>Node pool para Grid Selenium.</t>
  </si>
  <si>
    <t>AKS Worker Node Unitario</t>
  </si>
  <si>
    <t>AKS Cluster Baseline</t>
  </si>
  <si>
    <t>Overhead e componentes base do cluster.</t>
  </si>
  <si>
    <t>Self-hosted Agents</t>
  </si>
  <si>
    <t>Agents dedicados na esteira.</t>
  </si>
  <si>
    <t>Agent Unitario</t>
  </si>
  <si>
    <t>VM ou capacidade equivalente.</t>
  </si>
  <si>
    <t>ACR</t>
  </si>
  <si>
    <t>Tier Standard de referencia.</t>
  </si>
  <si>
    <t>Key Vault</t>
  </si>
  <si>
    <t>Baixa variacao no MVP.</t>
  </si>
  <si>
    <t>Log Analytics GB por dia</t>
  </si>
  <si>
    <t>GB/dia</t>
  </si>
  <si>
    <t>Ajustar apos conhecer verbosidade e retencao.</t>
  </si>
  <si>
    <t>Log Analytics Preco por GB</t>
  </si>
  <si>
    <t>USD/GB</t>
  </si>
  <si>
    <t>Storage Evidencias</t>
  </si>
  <si>
    <t>GB</t>
  </si>
  <si>
    <t>Artefatos, relatorios e evidencias.</t>
  </si>
  <si>
    <t>Storage Preco por GB</t>
  </si>
  <si>
    <t>USD/GB/mes</t>
  </si>
  <si>
    <t>Tier Hot de referencia.</t>
  </si>
  <si>
    <t>Private Endpoints</t>
  </si>
  <si>
    <t>ACR, Key Vault e Storage no MVP.</t>
  </si>
  <si>
    <t>Private Endpoint Unitario</t>
  </si>
  <si>
    <t>DNS Privado</t>
  </si>
  <si>
    <t>Zona e operacao basica.</t>
  </si>
  <si>
    <t>Load Balancer / ILB / IPs</t>
  </si>
  <si>
    <t>Sem App Gateway/WAF.</t>
  </si>
  <si>
    <t>Alert Rules / Action Groups</t>
  </si>
  <si>
    <t>Basico operacional.</t>
  </si>
  <si>
    <t>Application Gateway / WAF</t>
  </si>
  <si>
    <t>Se entrar no escopo, substituir por valor real.</t>
  </si>
  <si>
    <t>Reserva de risco</t>
  </si>
  <si>
    <t>%</t>
  </si>
  <si>
    <t>Margem para variacao inicial de consumo.</t>
  </si>
  <si>
    <t>Componente</t>
  </si>
  <si>
    <t>Quantidade</t>
  </si>
  <si>
    <t>Unitario USD/mes</t>
  </si>
  <si>
    <t>Subtotal USD/mes</t>
  </si>
  <si>
    <t>Cluster base/system pool</t>
  </si>
  <si>
    <t>Execucao Selenium Grid</t>
  </si>
  <si>
    <t>Servicos base do cluster</t>
  </si>
  <si>
    <t>Runner/pipeline dedicados</t>
  </si>
  <si>
    <t>Azure Container Registry</t>
  </si>
  <si>
    <t>Imagens do Grid</t>
  </si>
  <si>
    <t>Azure Key Vault</t>
  </si>
  <si>
    <t>Segredos e certificados</t>
  </si>
  <si>
    <t>Log Analytics</t>
  </si>
  <si>
    <t>GB por dia x 30 dias</t>
  </si>
  <si>
    <t>Storage de Evidencias</t>
  </si>
  <si>
    <t>Relatorios e artefatos</t>
  </si>
  <si>
    <t>Acesso privado PaaS</t>
  </si>
  <si>
    <t>Resolucao interna</t>
  </si>
  <si>
    <t>Exposicao controlada</t>
  </si>
  <si>
    <t>Alertas operacionais</t>
  </si>
  <si>
    <t>Opcional</t>
  </si>
  <si>
    <t>TOTAL BASE</t>
  </si>
  <si>
    <t/>
  </si>
  <si>
    <t>Soma mensal sem risco</t>
  </si>
  <si>
    <t>Indicador</t>
  </si>
  <si>
    <t>Total mensal base (USD)</t>
  </si>
  <si>
    <t>Soma dos componentes configurados.</t>
  </si>
  <si>
    <t>Reserva de risco (%)</t>
  </si>
  <si>
    <t>Margem inicial para variacao.</t>
  </si>
  <si>
    <t>Reserva de risco (USD)</t>
  </si>
  <si>
    <t>Base x percentual de risco.</t>
  </si>
  <si>
    <t>Total mensal com risco (USD)</t>
  </si>
  <si>
    <t>Estimativa recomendada para proposta inicial.</t>
  </si>
  <si>
    <t>Total anual com risco (USD)</t>
  </si>
  <si>
    <t>Projecao de 12 meses.</t>
  </si>
  <si>
    <t>Leitura comercial</t>
  </si>
  <si>
    <t>Ballpark Azure do ambiente Zurich</t>
  </si>
  <si>
    <t>Ajustar unitarios no portal/calculator da regiao final.</t>
  </si>
  <si>
    <t>Premissas e observacoes</t>
  </si>
  <si>
    <t>Esta planilha e um modelo editavel no estilo Azure Pricing Calculator para o ambiente Zurich.</t>
  </si>
  <si>
    <t>Os valores unitarios sao referencias iniciais e devem ser ajustados com a regiao, SKUs e politica comercial reais.</t>
  </si>
  <si>
    <t>Nao inclui custo de equipe humana, apenas consumo Azure estimado.</t>
  </si>
  <si>
    <t>Nao inclui sustentacao recorrente nem expansao para multiplos ambientes.</t>
  </si>
  <si>
    <t>Se houver App Gateway/WAF, NAT Gateway ou aumento forte de logs, o total mensal sobe de forma relevante.</t>
  </si>
  <si>
    <t>Os maiores drivers de custo sao: AKS, browser nodes, self-hosted agents e Log Analytics.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</si>
</sst>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19" workbookViewId="0">
      <selection activeCell="A11" sqref="A11"/>
    </sheetView>
  </sheetViews>
  <sheetFormatPr defaultRowHeight="14.4"/>
  <cols>
    <col min="1" max="1" width="26.44140625" customWidth="1"/>
    <col min="2" max="2" width="19.66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>
        <v>2</v>
      </c>
      <c r="C4" t="s">
        <v>12</v>
      </c>
      <c r="D4" t="s">
        <v>13</v>
      </c>
    </row>
    <row r="5" spans="1:4">
      <c r="A5" t="s">
        <v>14</v>
      </c>
      <c r="B5">
        <v>140</v>
      </c>
      <c r="C5" t="s">
        <v>15</v>
      </c>
      <c r="D5" t="s">
        <v>16</v>
      </c>
    </row>
    <row r="6" spans="1:4">
      <c r="A6" t="s">
        <v>17</v>
      </c>
      <c r="B6">
        <v>3</v>
      </c>
      <c r="C6" t="s">
        <v>12</v>
      </c>
      <c r="D6" t="s">
        <v>18</v>
      </c>
    </row>
    <row r="7" spans="1:4">
      <c r="A7" t="s">
        <v>19</v>
      </c>
      <c r="B7">
        <v>420</v>
      </c>
      <c r="C7" t="s">
        <v>15</v>
      </c>
      <c r="D7" t="s">
        <v>16</v>
      </c>
    </row>
    <row r="8" spans="1:4">
      <c r="A8" t="s">
        <v>20</v>
      </c>
      <c r="B8">
        <v>75</v>
      </c>
      <c r="C8" t="s">
        <v>15</v>
      </c>
      <c r="D8" t="s">
        <v>21</v>
      </c>
    </row>
    <row r="9" spans="1:4">
      <c r="A9" t="s">
        <v>22</v>
      </c>
      <c r="B9">
        <v>2</v>
      </c>
      <c r="C9" t="s">
        <v>12</v>
      </c>
      <c r="D9" t="s">
        <v>23</v>
      </c>
    </row>
    <row r="10" spans="1:4">
      <c r="A10" t="s">
        <v>24</v>
      </c>
      <c r="B10">
        <v>120</v>
      </c>
      <c r="C10" t="s">
        <v>15</v>
      </c>
      <c r="D10" t="s">
        <v>25</v>
      </c>
    </row>
    <row r="11" spans="1:4">
      <c r="A11" t="s">
        <v>26</v>
      </c>
      <c r="B11">
        <v>35</v>
      </c>
      <c r="C11" t="s">
        <v>15</v>
      </c>
      <c r="D11" t="s">
        <v>27</v>
      </c>
    </row>
    <row r="12" spans="1:4">
      <c r="A12" t="s">
        <v>28</v>
      </c>
      <c r="B12">
        <v>10</v>
      </c>
      <c r="C12" t="s">
        <v>15</v>
      </c>
      <c r="D12" t="s">
        <v>29</v>
      </c>
    </row>
    <row r="13" spans="1:4">
      <c r="A13" t="s">
        <v>30</v>
      </c>
      <c r="B13">
        <v>5</v>
      </c>
      <c r="C13" t="s">
        <v>31</v>
      </c>
      <c r="D13" t="s">
        <v>32</v>
      </c>
    </row>
    <row r="14" spans="1:4">
      <c r="A14" t="s">
        <v>33</v>
      </c>
      <c r="B14">
        <v>2.5</v>
      </c>
      <c r="C14" t="s">
        <v>34</v>
      </c>
      <c r="D14" t="s">
        <v>16</v>
      </c>
    </row>
    <row r="15" spans="1:4">
      <c r="A15" t="s">
        <v>35</v>
      </c>
      <c r="B15">
        <v>250</v>
      </c>
      <c r="C15" t="s">
        <v>36</v>
      </c>
      <c r="D15" t="s">
        <v>37</v>
      </c>
    </row>
    <row r="16" spans="1:4">
      <c r="A16" t="s">
        <v>38</v>
      </c>
      <c r="B16">
        <v>0.03</v>
      </c>
      <c r="C16" t="s">
        <v>39</v>
      </c>
      <c r="D16" t="s">
        <v>40</v>
      </c>
    </row>
    <row r="17" spans="1:4">
      <c r="A17" t="s">
        <v>41</v>
      </c>
      <c r="B17">
        <v>3</v>
      </c>
      <c r="C17" t="s">
        <v>12</v>
      </c>
      <c r="D17" t="s">
        <v>42</v>
      </c>
    </row>
    <row r="18" spans="1:4">
      <c r="A18" t="s">
        <v>43</v>
      </c>
      <c r="B18">
        <v>8</v>
      </c>
      <c r="C18" t="s">
        <v>15</v>
      </c>
      <c r="D18" t="s">
        <v>16</v>
      </c>
    </row>
    <row r="19" spans="1:4">
      <c r="A19" t="s">
        <v>44</v>
      </c>
      <c r="B19">
        <v>10</v>
      </c>
      <c r="C19" t="s">
        <v>15</v>
      </c>
      <c r="D19" t="s">
        <v>45</v>
      </c>
    </row>
    <row r="20" spans="1:4">
      <c r="A20" t="s">
        <v>46</v>
      </c>
      <c r="B20">
        <v>25</v>
      </c>
      <c r="C20" t="s">
        <v>15</v>
      </c>
      <c r="D20" t="s">
        <v>47</v>
      </c>
    </row>
    <row r="21" spans="1:4">
      <c r="A21" t="s">
        <v>48</v>
      </c>
      <c r="B21">
        <v>20</v>
      </c>
      <c r="C21" t="s">
        <v>15</v>
      </c>
      <c r="D21" t="s">
        <v>49</v>
      </c>
    </row>
    <row r="22" spans="1:4">
      <c r="A22" t="s">
        <v>50</v>
      </c>
      <c r="B22">
        <v>0</v>
      </c>
      <c r="C22" t="s">
        <v>15</v>
      </c>
      <c r="D22" t="s">
        <v>51</v>
      </c>
    </row>
    <row r="23" spans="1:4">
      <c r="A23" t="s">
        <v>52</v>
      </c>
      <c r="B23">
        <v>10</v>
      </c>
      <c r="C23" t="s">
        <v>53</v>
      </c>
      <c r="D23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E3" sqref="E3"/>
    </sheetView>
  </sheetViews>
  <sheetFormatPr defaultRowHeight="14.4"/>
  <cols>
    <col min="1" max="1" width="23.5546875" bestFit="1" customWidth="1"/>
  </cols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3</v>
      </c>
    </row>
    <row r="2" spans="1:5">
      <c r="A2" t="s">
        <v>11</v>
      </c>
      <c r="B2">
        <f>Inputs!B4</f>
        <v>2</v>
      </c>
      <c r="C2">
        <f>Inputs!B5</f>
        <v>140</v>
      </c>
      <c r="D2">
        <f t="shared" ref="D2:D14" si="0">B2*C2</f>
        <v>280</v>
      </c>
      <c r="E2" t="s">
        <v>59</v>
      </c>
    </row>
    <row r="3" spans="1:5">
      <c r="A3" t="s">
        <v>17</v>
      </c>
      <c r="B3">
        <f>Inputs!B6</f>
        <v>3</v>
      </c>
      <c r="C3">
        <f>Inputs!B7</f>
        <v>420</v>
      </c>
      <c r="D3">
        <f t="shared" si="0"/>
        <v>1260</v>
      </c>
      <c r="E3" t="s">
        <v>60</v>
      </c>
    </row>
    <row r="4" spans="1:5">
      <c r="A4" t="s">
        <v>20</v>
      </c>
      <c r="B4">
        <v>1</v>
      </c>
      <c r="C4">
        <f>Inputs!B8</f>
        <v>75</v>
      </c>
      <c r="D4">
        <f t="shared" si="0"/>
        <v>75</v>
      </c>
      <c r="E4" t="s">
        <v>61</v>
      </c>
    </row>
    <row r="5" spans="1:5">
      <c r="A5" t="s">
        <v>22</v>
      </c>
      <c r="B5">
        <f>Inputs!B9</f>
        <v>2</v>
      </c>
      <c r="C5">
        <f>Inputs!B10</f>
        <v>120</v>
      </c>
      <c r="D5">
        <f t="shared" si="0"/>
        <v>240</v>
      </c>
      <c r="E5" t="s">
        <v>62</v>
      </c>
    </row>
    <row r="6" spans="1:5">
      <c r="A6" t="s">
        <v>63</v>
      </c>
      <c r="B6">
        <v>1</v>
      </c>
      <c r="C6">
        <f>Inputs!B11</f>
        <v>35</v>
      </c>
      <c r="D6">
        <f t="shared" si="0"/>
        <v>35</v>
      </c>
      <c r="E6" t="s">
        <v>64</v>
      </c>
    </row>
    <row r="7" spans="1:5">
      <c r="A7" t="s">
        <v>65</v>
      </c>
      <c r="B7">
        <v>1</v>
      </c>
      <c r="C7">
        <f>Inputs!B12</f>
        <v>10</v>
      </c>
      <c r="D7">
        <f t="shared" si="0"/>
        <v>10</v>
      </c>
      <c r="E7" t="s">
        <v>66</v>
      </c>
    </row>
    <row r="8" spans="1:5">
      <c r="A8" t="s">
        <v>67</v>
      </c>
      <c r="B8">
        <f>Inputs!B13*30</f>
        <v>150</v>
      </c>
      <c r="C8">
        <f>Inputs!B14</f>
        <v>2.5</v>
      </c>
      <c r="D8">
        <f t="shared" si="0"/>
        <v>375</v>
      </c>
      <c r="E8" t="s">
        <v>68</v>
      </c>
    </row>
    <row r="9" spans="1:5">
      <c r="A9" t="s">
        <v>69</v>
      </c>
      <c r="B9">
        <f>Inputs!B15</f>
        <v>250</v>
      </c>
      <c r="C9">
        <f>Inputs!B16</f>
        <v>0.03</v>
      </c>
      <c r="D9">
        <f t="shared" si="0"/>
        <v>7.5</v>
      </c>
      <c r="E9" t="s">
        <v>70</v>
      </c>
    </row>
    <row r="10" spans="1:5">
      <c r="A10" t="s">
        <v>41</v>
      </c>
      <c r="B10">
        <f>Inputs!B17</f>
        <v>3</v>
      </c>
      <c r="C10">
        <f>Inputs!B18</f>
        <v>8</v>
      </c>
      <c r="D10">
        <f t="shared" si="0"/>
        <v>24</v>
      </c>
      <c r="E10" t="s">
        <v>71</v>
      </c>
    </row>
    <row r="11" spans="1:5">
      <c r="A11" t="s">
        <v>44</v>
      </c>
      <c r="B11">
        <v>1</v>
      </c>
      <c r="C11">
        <f>Inputs!B19</f>
        <v>10</v>
      </c>
      <c r="D11">
        <f t="shared" si="0"/>
        <v>10</v>
      </c>
      <c r="E11" t="s">
        <v>72</v>
      </c>
    </row>
    <row r="12" spans="1:5">
      <c r="A12" t="s">
        <v>46</v>
      </c>
      <c r="B12">
        <v>1</v>
      </c>
      <c r="C12">
        <f>Inputs!B20</f>
        <v>25</v>
      </c>
      <c r="D12">
        <f t="shared" si="0"/>
        <v>25</v>
      </c>
      <c r="E12" t="s">
        <v>73</v>
      </c>
    </row>
    <row r="13" spans="1:5">
      <c r="A13" t="s">
        <v>48</v>
      </c>
      <c r="B13">
        <v>1</v>
      </c>
      <c r="C13">
        <f>Inputs!B21</f>
        <v>20</v>
      </c>
      <c r="D13">
        <f t="shared" si="0"/>
        <v>20</v>
      </c>
      <c r="E13" t="s">
        <v>74</v>
      </c>
    </row>
    <row r="14" spans="1:5">
      <c r="A14" t="s">
        <v>50</v>
      </c>
      <c r="B14">
        <v>1</v>
      </c>
      <c r="C14">
        <f>Inputs!B22</f>
        <v>0</v>
      </c>
      <c r="D14">
        <f t="shared" si="0"/>
        <v>0</v>
      </c>
      <c r="E14" t="s">
        <v>75</v>
      </c>
    </row>
    <row r="15" spans="1:5">
      <c r="A15" t="s">
        <v>76</v>
      </c>
      <c r="B15" t="s">
        <v>77</v>
      </c>
      <c r="C15" t="s">
        <v>77</v>
      </c>
      <c r="D15">
        <f>SUM(D2:D14)</f>
        <v>2361.5</v>
      </c>
      <c r="E15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D9" sqref="D9"/>
    </sheetView>
  </sheetViews>
  <sheetFormatPr defaultRowHeight="14.4"/>
  <cols>
    <col min="1" max="1" width="25.109375" bestFit="1" customWidth="1"/>
    <col min="2" max="2" width="10.109375" bestFit="1" customWidth="1"/>
  </cols>
  <sheetData>
    <row r="1" spans="1:3">
      <c r="A1" s="1" t="s">
        <v>79</v>
      </c>
      <c r="B1" s="1" t="s">
        <v>1</v>
      </c>
      <c r="C1" s="1" t="s">
        <v>3</v>
      </c>
    </row>
    <row r="2" spans="1:3">
      <c r="A2" t="s">
        <v>80</v>
      </c>
      <c r="B2" s="2">
        <f>Componentes!D15</f>
        <v>2361.5</v>
      </c>
      <c r="C2" t="s">
        <v>81</v>
      </c>
    </row>
    <row r="3" spans="1:3">
      <c r="A3" t="s">
        <v>82</v>
      </c>
      <c r="B3">
        <f>Inputs!B23</f>
        <v>10</v>
      </c>
      <c r="C3" t="s">
        <v>83</v>
      </c>
    </row>
    <row r="4" spans="1:3">
      <c r="A4" t="s">
        <v>84</v>
      </c>
      <c r="B4">
        <f>B2*(B3/100)</f>
        <v>236.15</v>
      </c>
      <c r="C4" t="s">
        <v>85</v>
      </c>
    </row>
    <row r="5" spans="1:3">
      <c r="A5" t="s">
        <v>86</v>
      </c>
      <c r="B5">
        <f>B2+B4</f>
        <v>2597.65</v>
      </c>
      <c r="C5" t="s">
        <v>87</v>
      </c>
    </row>
    <row r="6" spans="1:3">
      <c r="A6" t="s">
        <v>88</v>
      </c>
      <c r="B6">
        <f>B5*12</f>
        <v>31171.800000000003</v>
      </c>
      <c r="C6" t="s">
        <v>89</v>
      </c>
    </row>
    <row r="7" spans="1:3">
      <c r="A7" t="s">
        <v>90</v>
      </c>
      <c r="B7" t="s">
        <v>91</v>
      </c>
      <c r="C7" t="s">
        <v>92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4.4"/>
  <sheetData>
    <row r="1" spans="1:1">
      <c r="A1" s="1" t="s">
        <v>93</v>
      </c>
    </row>
    <row r="2" spans="1:1">
      <c r="A2" t="s">
        <v>94</v>
      </c>
    </row>
    <row r="3" spans="1:1">
      <c r="A3" t="s">
        <v>95</v>
      </c>
    </row>
    <row r="4" spans="1:1">
      <c r="A4" t="s">
        <v>96</v>
      </c>
    </row>
    <row r="5" spans="1:1">
      <c r="A5" t="s">
        <v>97</v>
      </c>
    </row>
    <row r="6" spans="1:1">
      <c r="A6" t="s">
        <v>98</v>
      </c>
    </row>
    <row r="7" spans="1:1">
      <c r="A7" t="s">
        <v>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Inputs</vt:lpstr>
      <vt:lpstr>Componentes</vt:lpstr>
      <vt:lpstr>Resumo</vt:lpstr>
      <vt:lpstr>Observacoes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Calculadora Azure Zurich</dc:title>
  <dc:creator>Cursor GPT-5.4</dc:creator>
  <cp:lastModifiedBy>Alessandro Lisboa de lyra</cp:lastModifiedBy>
  <dcterms:modified xsi:type="dcterms:W3CDTF">2026-03-31T01:43:07Z</dcterms:modified>
</cp:coreProperties>
</file>